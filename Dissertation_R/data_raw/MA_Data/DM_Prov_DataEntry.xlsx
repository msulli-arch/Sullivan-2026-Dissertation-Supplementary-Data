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yles_1/Desktop/Dissertation_R/data_raw/MA_Data/"/>
    </mc:Choice>
  </mc:AlternateContent>
  <xr:revisionPtr revIDLastSave="0" documentId="13_ncr:1_{735F5E58-A989-F140-971A-2D529CB0FCFA}" xr6:coauthVersionLast="47" xr6:coauthVersionMax="47" xr10:uidLastSave="{00000000-0000-0000-0000-000000000000}"/>
  <bookViews>
    <workbookView xWindow="1260" yWindow="600" windowWidth="27540" windowHeight="17400" xr2:uid="{00000000-000D-0000-FFFF-FFFF00000000}"/>
  </bookViews>
  <sheets>
    <sheet name="Sheet1" sheetId="1" r:id="rId1"/>
  </sheets>
  <definedNames>
    <definedName name="_xlnm._FilterDatabase" localSheetId="0" hidden="1">Sheet1!$A$1:$W$672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1" i="1" l="1"/>
  <c r="B570" i="1"/>
  <c r="B568" i="1"/>
  <c r="B567" i="1"/>
  <c r="B566" i="1"/>
  <c r="B565" i="1"/>
  <c r="B562" i="1"/>
  <c r="B564" i="1"/>
  <c r="B563" i="1"/>
  <c r="B561" i="1"/>
  <c r="B560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28" i="1"/>
  <c r="B625" i="1"/>
  <c r="B616" i="1"/>
  <c r="B617" i="1"/>
  <c r="B618" i="1"/>
  <c r="B619" i="1"/>
  <c r="B620" i="1"/>
  <c r="B621" i="1"/>
  <c r="B622" i="1"/>
  <c r="B623" i="1"/>
  <c r="B615" i="1"/>
  <c r="B613" i="1"/>
  <c r="B611" i="1"/>
  <c r="B609" i="1"/>
  <c r="B607" i="1"/>
  <c r="B604" i="1"/>
  <c r="B603" i="1"/>
  <c r="B602" i="1"/>
  <c r="B601" i="1"/>
  <c r="B600" i="1"/>
  <c r="B599" i="1"/>
  <c r="B598" i="1"/>
  <c r="B596" i="1"/>
  <c r="B594" i="1"/>
  <c r="B593" i="1"/>
  <c r="B590" i="1"/>
  <c r="B587" i="1"/>
  <c r="B584" i="1"/>
  <c r="B583" i="1"/>
  <c r="B581" i="1"/>
  <c r="B580" i="1"/>
  <c r="B578" i="1"/>
  <c r="B574" i="1"/>
  <c r="B573" i="1"/>
  <c r="B624" i="1"/>
  <c r="B614" i="1"/>
  <c r="B612" i="1"/>
  <c r="B610" i="1"/>
  <c r="B608" i="1"/>
  <c r="B606" i="1"/>
  <c r="B605" i="1"/>
  <c r="B597" i="1"/>
  <c r="B595" i="1"/>
  <c r="B591" i="1"/>
  <c r="B589" i="1"/>
  <c r="B588" i="1"/>
  <c r="B586" i="1"/>
  <c r="B585" i="1"/>
  <c r="B582" i="1"/>
  <c r="B579" i="1"/>
  <c r="B577" i="1"/>
  <c r="B576" i="1"/>
  <c r="B575" i="1"/>
  <c r="B572" i="1"/>
  <c r="B569" i="1"/>
  <c r="B434" i="1"/>
  <c r="B432" i="1"/>
  <c r="B423" i="1"/>
  <c r="B424" i="1"/>
  <c r="B425" i="1"/>
  <c r="B426" i="1"/>
  <c r="B427" i="1"/>
  <c r="B428" i="1"/>
  <c r="B429" i="1"/>
  <c r="B422" i="1"/>
  <c r="B548" i="1"/>
  <c r="B547" i="1"/>
  <c r="B537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8" i="1"/>
  <c r="B539" i="1"/>
  <c r="B540" i="1"/>
  <c r="B541" i="1"/>
  <c r="B542" i="1"/>
  <c r="B543" i="1"/>
  <c r="B544" i="1"/>
  <c r="B545" i="1"/>
  <c r="B546" i="1"/>
  <c r="B549" i="1"/>
  <c r="B50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465" i="1"/>
  <c r="B459" i="1"/>
  <c r="B460" i="1"/>
  <c r="B461" i="1"/>
  <c r="B462" i="1"/>
  <c r="B458" i="1"/>
  <c r="B456" i="1"/>
  <c r="B454" i="1"/>
  <c r="B453" i="1"/>
  <c r="B449" i="1"/>
  <c r="B442" i="1"/>
  <c r="B443" i="1"/>
  <c r="B444" i="1"/>
  <c r="B445" i="1"/>
  <c r="B446" i="1"/>
  <c r="B447" i="1"/>
  <c r="B441" i="1"/>
  <c r="B439" i="1"/>
  <c r="B438" i="1"/>
  <c r="B436" i="1"/>
  <c r="B435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390" i="1"/>
  <c r="B382" i="1"/>
  <c r="B383" i="1"/>
  <c r="B384" i="1"/>
  <c r="B385" i="1"/>
  <c r="B386" i="1"/>
  <c r="B387" i="1"/>
  <c r="B388" i="1"/>
  <c r="B381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67" i="1"/>
  <c r="B365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17" i="1"/>
  <c r="B310" i="1"/>
  <c r="B311" i="1"/>
  <c r="B312" i="1"/>
  <c r="B313" i="1"/>
  <c r="B314" i="1"/>
  <c r="B315" i="1"/>
  <c r="B309" i="1"/>
  <c r="B306" i="1"/>
  <c r="B304" i="1"/>
  <c r="B296" i="1"/>
  <c r="B297" i="1"/>
  <c r="B298" i="1"/>
  <c r="B299" i="1"/>
  <c r="B300" i="1"/>
  <c r="B301" i="1"/>
  <c r="B302" i="1"/>
  <c r="B295" i="1"/>
  <c r="B289" i="1"/>
  <c r="B290" i="1"/>
  <c r="B291" i="1"/>
  <c r="B292" i="1"/>
  <c r="B293" i="1"/>
  <c r="B288" i="1"/>
  <c r="B280" i="1"/>
  <c r="B281" i="1"/>
  <c r="B282" i="1"/>
  <c r="B283" i="1"/>
  <c r="B284" i="1"/>
  <c r="B279" i="1"/>
  <c r="B277" i="1"/>
  <c r="B275" i="1"/>
  <c r="B261" i="1"/>
  <c r="B262" i="1"/>
  <c r="B263" i="1"/>
  <c r="B260" i="1"/>
  <c r="B257" i="1"/>
  <c r="B251" i="1"/>
  <c r="B248" i="1"/>
  <c r="B247" i="1"/>
  <c r="B246" i="1"/>
  <c r="B252" i="1"/>
  <c r="B286" i="1"/>
  <c r="B285" i="1"/>
  <c r="B276" i="1"/>
  <c r="B274" i="1"/>
  <c r="B271" i="1"/>
  <c r="B270" i="1"/>
  <c r="B269" i="1"/>
  <c r="B268" i="1"/>
  <c r="B267" i="1"/>
  <c r="B266" i="1"/>
  <c r="B265" i="1"/>
  <c r="B264" i="1"/>
  <c r="B259" i="1"/>
  <c r="B256" i="1"/>
  <c r="B255" i="1"/>
  <c r="B254" i="1"/>
  <c r="B250" i="1"/>
  <c r="B249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<sst xmlns="http://schemas.openxmlformats.org/spreadsheetml/2006/main" count="3183" uniqueCount="379">
  <si>
    <t>Room_Num</t>
  </si>
  <si>
    <t>Trench</t>
  </si>
  <si>
    <t>North</t>
  </si>
  <si>
    <t>East</t>
  </si>
  <si>
    <t>Period</t>
  </si>
  <si>
    <t>TRENCH</t>
  </si>
  <si>
    <t>20</t>
  </si>
  <si>
    <t>L1</t>
  </si>
  <si>
    <t>L4PITA</t>
  </si>
  <si>
    <t>L1PITB</t>
  </si>
  <si>
    <t>L1PITC</t>
  </si>
  <si>
    <t>L1PITD</t>
  </si>
  <si>
    <t>19A</t>
  </si>
  <si>
    <t>L1PITE</t>
  </si>
  <si>
    <t>AA</t>
  </si>
  <si>
    <t>L2</t>
  </si>
  <si>
    <t>PPMG</t>
  </si>
  <si>
    <t>SP2</t>
  </si>
  <si>
    <t>PITH</t>
  </si>
  <si>
    <t>L3</t>
  </si>
  <si>
    <t>PITE</t>
  </si>
  <si>
    <t>PHB</t>
  </si>
  <si>
    <t>SP2?</t>
  </si>
  <si>
    <t>PITD</t>
  </si>
  <si>
    <t>F2</t>
  </si>
  <si>
    <t>TERR</t>
  </si>
  <si>
    <t>F1</t>
  </si>
  <si>
    <t>L4</t>
  </si>
  <si>
    <t>PHJ</t>
  </si>
  <si>
    <t>SP1</t>
  </si>
  <si>
    <t>PITQ</t>
  </si>
  <si>
    <t>F4</t>
  </si>
  <si>
    <t>PIT5</t>
  </si>
  <si>
    <t>PITM</t>
  </si>
  <si>
    <t>PHT</t>
  </si>
  <si>
    <t>AN</t>
  </si>
  <si>
    <t>PITL</t>
  </si>
  <si>
    <t>F5L1</t>
  </si>
  <si>
    <t>F5L2</t>
  </si>
  <si>
    <t>PHK</t>
  </si>
  <si>
    <t>PITU</t>
  </si>
  <si>
    <t>PITJ</t>
  </si>
  <si>
    <t>BRIT/SP218</t>
  </si>
  <si>
    <t>SP219/TERR</t>
  </si>
  <si>
    <t>PHW</t>
  </si>
  <si>
    <t>PITF</t>
  </si>
  <si>
    <t>CONSTRNCH</t>
  </si>
  <si>
    <t>PITR</t>
  </si>
  <si>
    <t>Z2L2</t>
  </si>
  <si>
    <t>F6</t>
  </si>
  <si>
    <t>AW</t>
  </si>
  <si>
    <t>PITX</t>
  </si>
  <si>
    <t>PITS</t>
  </si>
  <si>
    <t>PITV</t>
  </si>
  <si>
    <t>PHZ</t>
  </si>
  <si>
    <t>BRIT?</t>
  </si>
  <si>
    <t>PHA2</t>
  </si>
  <si>
    <t>PHB2</t>
  </si>
  <si>
    <t>Z3L1</t>
  </si>
  <si>
    <t>PITA</t>
  </si>
  <si>
    <t>19B</t>
  </si>
  <si>
    <t>Z2L1</t>
  </si>
  <si>
    <t>F9</t>
  </si>
  <si>
    <t>BRIT</t>
  </si>
  <si>
    <t>PITG</t>
  </si>
  <si>
    <t>PHE</t>
  </si>
  <si>
    <t>PHD</t>
  </si>
  <si>
    <t>AC</t>
  </si>
  <si>
    <t>AF</t>
  </si>
  <si>
    <t>PHD2</t>
  </si>
  <si>
    <t>BURPIT1</t>
  </si>
  <si>
    <t>F11</t>
  </si>
  <si>
    <t>F3</t>
  </si>
  <si>
    <t>PITC</t>
  </si>
  <si>
    <t>AG</t>
  </si>
  <si>
    <t>F10EXT</t>
  </si>
  <si>
    <t>Z3L2</t>
  </si>
  <si>
    <t>MIXED</t>
  </si>
  <si>
    <t>PITK</t>
  </si>
  <si>
    <t>PITO</t>
  </si>
  <si>
    <t>AT</t>
  </si>
  <si>
    <t>F12</t>
  </si>
  <si>
    <t>Z2L3</t>
  </si>
  <si>
    <t>SP118/BRIT</t>
  </si>
  <si>
    <t>Z1L1</t>
  </si>
  <si>
    <t>PITB</t>
  </si>
  <si>
    <t>AD</t>
  </si>
  <si>
    <t>PHF</t>
  </si>
  <si>
    <t>Z2L4</t>
  </si>
  <si>
    <t>PITI</t>
  </si>
  <si>
    <t>SP1D</t>
  </si>
  <si>
    <t>F14L1</t>
  </si>
  <si>
    <t>PHP</t>
  </si>
  <si>
    <t>F12L3</t>
  </si>
  <si>
    <t>PITW</t>
  </si>
  <si>
    <t>F14L2</t>
  </si>
  <si>
    <t>F14L3</t>
  </si>
  <si>
    <t>F12L4</t>
  </si>
  <si>
    <t>F12L5</t>
  </si>
  <si>
    <t>F14L4</t>
  </si>
  <si>
    <t>F12L6</t>
  </si>
  <si>
    <t>F14L5</t>
  </si>
  <si>
    <t>AYL1</t>
  </si>
  <si>
    <t>F14L6</t>
  </si>
  <si>
    <t>AYL2</t>
  </si>
  <si>
    <t>F14L7</t>
  </si>
  <si>
    <t>AYL3</t>
  </si>
  <si>
    <t>F14L8</t>
  </si>
  <si>
    <t>AYL4</t>
  </si>
  <si>
    <t>F14L9</t>
  </si>
  <si>
    <t>AYL5</t>
  </si>
  <si>
    <t>F14L10</t>
  </si>
  <si>
    <t>F14L4-10</t>
  </si>
  <si>
    <t>F14L11</t>
  </si>
  <si>
    <t>F14L12</t>
  </si>
  <si>
    <t>F14L13</t>
  </si>
  <si>
    <t>F14L14</t>
  </si>
  <si>
    <t>PHL</t>
  </si>
  <si>
    <t>PITN</t>
  </si>
  <si>
    <t>PHO</t>
  </si>
  <si>
    <t>PHR</t>
  </si>
  <si>
    <t>PHS</t>
  </si>
  <si>
    <t>PHU</t>
  </si>
  <si>
    <t>PHA1</t>
  </si>
  <si>
    <t>PHX</t>
  </si>
  <si>
    <t>SP2D?</t>
  </si>
  <si>
    <t>PHY</t>
  </si>
  <si>
    <t>AP</t>
  </si>
  <si>
    <t>F15</t>
  </si>
  <si>
    <t>PITMEXT</t>
  </si>
  <si>
    <t>AQ</t>
  </si>
  <si>
    <t>AC2</t>
  </si>
  <si>
    <t>PITE2</t>
  </si>
  <si>
    <t>PHI</t>
  </si>
  <si>
    <t>SP2D</t>
  </si>
  <si>
    <t>AJ</t>
  </si>
  <si>
    <t>PITP</t>
  </si>
  <si>
    <t>AR</t>
  </si>
  <si>
    <t>BRITD</t>
  </si>
  <si>
    <t>PITOEXT</t>
  </si>
  <si>
    <t>F16L1</t>
  </si>
  <si>
    <t>PHV</t>
  </si>
  <si>
    <t>F17</t>
  </si>
  <si>
    <t>AA2</t>
  </si>
  <si>
    <t>PIT1</t>
  </si>
  <si>
    <t>PIT2</t>
  </si>
  <si>
    <t>PIT3</t>
  </si>
  <si>
    <t>F19L1</t>
  </si>
  <si>
    <t>PIT4</t>
  </si>
  <si>
    <t>F18L2</t>
  </si>
  <si>
    <t>F19L2</t>
  </si>
  <si>
    <t>F16L2</t>
  </si>
  <si>
    <t>PIT7</t>
  </si>
  <si>
    <t>F19L3</t>
  </si>
  <si>
    <t>A7</t>
  </si>
  <si>
    <t>F18L4</t>
  </si>
  <si>
    <t>PIT6</t>
  </si>
  <si>
    <t>PITB2</t>
  </si>
  <si>
    <t>A6</t>
  </si>
  <si>
    <t>F20L1</t>
  </si>
  <si>
    <t>PIT8</t>
  </si>
  <si>
    <t>F18L1</t>
  </si>
  <si>
    <t>F16L3</t>
  </si>
  <si>
    <t>PIT11</t>
  </si>
  <si>
    <t>F20L2</t>
  </si>
  <si>
    <t>PIT12</t>
  </si>
  <si>
    <t>PIT9</t>
  </si>
  <si>
    <t>A9EXT</t>
  </si>
  <si>
    <t>A</t>
  </si>
  <si>
    <t>F21</t>
  </si>
  <si>
    <t>PIT14</t>
  </si>
  <si>
    <t>PIT13</t>
  </si>
  <si>
    <t>B</t>
  </si>
  <si>
    <t>FLOORD</t>
  </si>
  <si>
    <t>PH4</t>
  </si>
  <si>
    <t>PIT15</t>
  </si>
  <si>
    <t>PIT16</t>
  </si>
  <si>
    <t>PIT17</t>
  </si>
  <si>
    <t>A10</t>
  </si>
  <si>
    <t>PIT18</t>
  </si>
  <si>
    <t>A20</t>
  </si>
  <si>
    <t>A19</t>
  </si>
  <si>
    <t>A11</t>
  </si>
  <si>
    <t>F26</t>
  </si>
  <si>
    <t>A9</t>
  </si>
  <si>
    <t>FLOORCL</t>
  </si>
  <si>
    <t>SP1?</t>
  </si>
  <si>
    <t>A5</t>
  </si>
  <si>
    <t>PH6</t>
  </si>
  <si>
    <t>PH13</t>
  </si>
  <si>
    <t>A10EXT</t>
  </si>
  <si>
    <t>Z3L3</t>
  </si>
  <si>
    <t>Z3L4</t>
  </si>
  <si>
    <t>PH15</t>
  </si>
  <si>
    <t>A2</t>
  </si>
  <si>
    <t>F24</t>
  </si>
  <si>
    <t>A8</t>
  </si>
  <si>
    <t>Z2L5</t>
  </si>
  <si>
    <t>FLOORC</t>
  </si>
  <si>
    <t>D</t>
  </si>
  <si>
    <t>A3</t>
  </si>
  <si>
    <t>A4</t>
  </si>
  <si>
    <t>I</t>
  </si>
  <si>
    <t>A1</t>
  </si>
  <si>
    <t>FLOORB</t>
  </si>
  <si>
    <t>F32</t>
  </si>
  <si>
    <t>C</t>
  </si>
  <si>
    <t>PH2</t>
  </si>
  <si>
    <t>FLOOR</t>
  </si>
  <si>
    <t>PREHIS</t>
  </si>
  <si>
    <t>PIT10</t>
  </si>
  <si>
    <t>A13</t>
  </si>
  <si>
    <t>A12</t>
  </si>
  <si>
    <t>Z2L2W</t>
  </si>
  <si>
    <t>Z2L2E</t>
  </si>
  <si>
    <t>Z2BL1</t>
  </si>
  <si>
    <t>Z2BL2</t>
  </si>
  <si>
    <t>Z2BL1W</t>
  </si>
  <si>
    <t>Z4L1</t>
  </si>
  <si>
    <t>A15</t>
  </si>
  <si>
    <t>Z2BL4</t>
  </si>
  <si>
    <t>Z2BL3</t>
  </si>
  <si>
    <t>A16</t>
  </si>
  <si>
    <t>Z4L2</t>
  </si>
  <si>
    <t>PH5</t>
  </si>
  <si>
    <t>H</t>
  </si>
  <si>
    <t>FLOORPACK</t>
  </si>
  <si>
    <t>F34</t>
  </si>
  <si>
    <t>G</t>
  </si>
  <si>
    <t>F</t>
  </si>
  <si>
    <t>F38</t>
  </si>
  <si>
    <t>Z2</t>
  </si>
  <si>
    <t>PH3</t>
  </si>
  <si>
    <t>Z3</t>
  </si>
  <si>
    <t>F40</t>
  </si>
  <si>
    <t>AB</t>
  </si>
  <si>
    <t>Z1L2</t>
  </si>
  <si>
    <t>Z1L3</t>
  </si>
  <si>
    <t>PH1</t>
  </si>
  <si>
    <t>F47</t>
  </si>
  <si>
    <t>PPH1</t>
  </si>
  <si>
    <t>F50</t>
  </si>
  <si>
    <t>SW</t>
  </si>
  <si>
    <t>E</t>
  </si>
  <si>
    <t>F52</t>
  </si>
  <si>
    <t>Z4L3</t>
  </si>
  <si>
    <t>Z1</t>
  </si>
  <si>
    <t>TABB</t>
  </si>
  <si>
    <t>Z4</t>
  </si>
  <si>
    <t>CLAYSURFAC</t>
  </si>
  <si>
    <t>F56</t>
  </si>
  <si>
    <t>F57</t>
  </si>
  <si>
    <t>PPH2</t>
  </si>
  <si>
    <t>PPH3</t>
  </si>
  <si>
    <t>F61</t>
  </si>
  <si>
    <t>FLOORA</t>
  </si>
  <si>
    <t>Z2L1-1</t>
  </si>
  <si>
    <t>Z2L2-1</t>
  </si>
  <si>
    <t>Z2L3-1</t>
  </si>
  <si>
    <t>Z2L4-1</t>
  </si>
  <si>
    <t>SURFE</t>
  </si>
  <si>
    <t>SURFB</t>
  </si>
  <si>
    <t>Z2L1-2</t>
  </si>
  <si>
    <t>PPH1-E</t>
  </si>
  <si>
    <t>Z2L2-2</t>
  </si>
  <si>
    <t>AA-E</t>
  </si>
  <si>
    <t>Z2L3-2</t>
  </si>
  <si>
    <t>F65</t>
  </si>
  <si>
    <t>Z4E</t>
  </si>
  <si>
    <t>PPH3W</t>
  </si>
  <si>
    <t>Z3W</t>
  </si>
  <si>
    <t>PH1W</t>
  </si>
  <si>
    <t>F48</t>
  </si>
  <si>
    <t>F67</t>
  </si>
  <si>
    <t>BURHUM</t>
  </si>
  <si>
    <t>SURFC</t>
  </si>
  <si>
    <t>Z5</t>
  </si>
  <si>
    <t>F75L1</t>
  </si>
  <si>
    <t>CLAYSURF</t>
  </si>
  <si>
    <t>F75L2</t>
  </si>
  <si>
    <t>COQSURF</t>
  </si>
  <si>
    <t>SURFD</t>
  </si>
  <si>
    <t>FLOOR SAMPLE</t>
  </si>
  <si>
    <t>Z2L2 UNDER FLOOR D</t>
  </si>
  <si>
    <t>Z2L2 [Z2L4 in Prov]</t>
  </si>
  <si>
    <t>Z2BL3E</t>
  </si>
  <si>
    <t>3.04/2.99</t>
  </si>
  <si>
    <t>3.09 - 3.14</t>
  </si>
  <si>
    <t xml:space="preserve">F38 </t>
  </si>
  <si>
    <t>L1PITA</t>
  </si>
  <si>
    <t>No Prov</t>
  </si>
  <si>
    <t>F5</t>
  </si>
  <si>
    <t>Soil Sample</t>
  </si>
  <si>
    <t>Soil Samp</t>
  </si>
  <si>
    <t>F8</t>
  </si>
  <si>
    <t>F8EXT</t>
  </si>
  <si>
    <t>F10</t>
  </si>
  <si>
    <t>mbd</t>
  </si>
  <si>
    <t>BURHUM1/F6</t>
  </si>
  <si>
    <t>BURHUM2/F8</t>
  </si>
  <si>
    <t>F14L9/WELL</t>
  </si>
  <si>
    <t>F14</t>
  </si>
  <si>
    <t>Shell Sample</t>
  </si>
  <si>
    <t>F12L12</t>
  </si>
  <si>
    <t>PITY</t>
  </si>
  <si>
    <t>F19L4</t>
  </si>
  <si>
    <t>UNPROV</t>
  </si>
  <si>
    <t>Sample</t>
  </si>
  <si>
    <t>Faunal Only</t>
  </si>
  <si>
    <t>ABO</t>
  </si>
  <si>
    <t>Trench Qualifiers</t>
  </si>
  <si>
    <t>STGEO</t>
  </si>
  <si>
    <t>SOUTH</t>
  </si>
  <si>
    <t>NORTH</t>
  </si>
  <si>
    <t>TR6</t>
  </si>
  <si>
    <t>J</t>
  </si>
  <si>
    <t>K</t>
  </si>
  <si>
    <t>L</t>
  </si>
  <si>
    <t>M</t>
  </si>
  <si>
    <t>N</t>
  </si>
  <si>
    <t>O</t>
  </si>
  <si>
    <t>S</t>
  </si>
  <si>
    <t>P</t>
  </si>
  <si>
    <t>R</t>
  </si>
  <si>
    <t>Q</t>
  </si>
  <si>
    <t>T</t>
  </si>
  <si>
    <t>U</t>
  </si>
  <si>
    <t>COURT</t>
  </si>
  <si>
    <t>V</t>
  </si>
  <si>
    <t>X</t>
  </si>
  <si>
    <t>W</t>
  </si>
  <si>
    <t>Y</t>
  </si>
  <si>
    <t>Z</t>
  </si>
  <si>
    <t>BB</t>
  </si>
  <si>
    <t>CC</t>
  </si>
  <si>
    <t>DD</t>
  </si>
  <si>
    <t>EE</t>
  </si>
  <si>
    <t>FF</t>
  </si>
  <si>
    <t>GG</t>
  </si>
  <si>
    <t>HH</t>
  </si>
  <si>
    <t>JJ</t>
  </si>
  <si>
    <t>KK</t>
  </si>
  <si>
    <t>LL</t>
  </si>
  <si>
    <t>L-JJ</t>
  </si>
  <si>
    <t>MM</t>
  </si>
  <si>
    <t>NN</t>
  </si>
  <si>
    <t>F36</t>
  </si>
  <si>
    <t>F37</t>
  </si>
  <si>
    <t>Aaron Diss?</t>
  </si>
  <si>
    <t>Level Type</t>
  </si>
  <si>
    <t>Deposit Type</t>
  </si>
  <si>
    <t>Unit Type</t>
  </si>
  <si>
    <t>Excavator Description</t>
  </si>
  <si>
    <t>Feature</t>
  </si>
  <si>
    <t>Floor</t>
  </si>
  <si>
    <t>Changed Trench from 2 to Z</t>
  </si>
  <si>
    <t>Unnumbered Feature</t>
  </si>
  <si>
    <t>Quadrat/Unit</t>
  </si>
  <si>
    <t>TEMP Area</t>
  </si>
  <si>
    <t>Floor, clay </t>
  </si>
  <si>
    <t>Floor, stone</t>
  </si>
  <si>
    <t>Project Name</t>
  </si>
  <si>
    <t>Data Entry Notes</t>
  </si>
  <si>
    <t>F S Number</t>
  </si>
  <si>
    <t>Level Designation</t>
  </si>
  <si>
    <t>Quadrat ID</t>
  </si>
  <si>
    <t>DeMesa</t>
  </si>
  <si>
    <t>Trench G, SOUTH</t>
  </si>
  <si>
    <t>Room 105</t>
  </si>
  <si>
    <t>Trench G, NORTH</t>
  </si>
  <si>
    <t>Trench FF</t>
  </si>
  <si>
    <t>MA</t>
  </si>
  <si>
    <t>MA Work?</t>
  </si>
  <si>
    <t>Ellrich</t>
  </si>
  <si>
    <t>Analyzed</t>
  </si>
  <si>
    <t>Both</t>
  </si>
  <si>
    <t>x</t>
  </si>
  <si>
    <t>Root disturbance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</si>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</sst>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2"/>
  <sheetViews>
    <sheetView tabSelected="1" zoomScale="90" zoomScaleNormal="90" workbookViewId="0">
      <pane ySplit="1" topLeftCell="A2" activePane="bottomLeft" state="frozen"/>
      <selection pane="bottomLeft" activeCell="E656" sqref="E656"/>
    </sheetView>
  </sheetViews>
  <sheetFormatPr baseColWidth="10" defaultColWidth="8.83203125" defaultRowHeight="15" x14ac:dyDescent="0.2"/>
  <cols>
    <col min="2" max="2" width="20.5" customWidth="1"/>
    <col min="12" max="12" width="9.6640625" customWidth="1"/>
    <col min="13" max="13" width="9.33203125" customWidth="1"/>
    <col min="27" max="27" width="22.33203125" customWidth="1"/>
    <col min="28" max="29" width="14" customWidth="1"/>
    <col min="30" max="30" width="13.5" customWidth="1"/>
  </cols>
  <sheetData>
    <row r="1" spans="1:21" s="1" customFormat="1" x14ac:dyDescent="0.2">
      <c r="A1" s="1" t="s">
        <v>361</v>
      </c>
      <c r="B1" s="1" t="s">
        <v>365</v>
      </c>
      <c r="C1" s="1" t="s">
        <v>0</v>
      </c>
      <c r="D1" s="1" t="s">
        <v>1</v>
      </c>
      <c r="E1" s="1" t="s">
        <v>310</v>
      </c>
      <c r="F1" s="1" t="s">
        <v>363</v>
      </c>
      <c r="G1" s="1" t="s">
        <v>364</v>
      </c>
      <c r="H1" s="1" t="s">
        <v>2</v>
      </c>
      <c r="I1" s="1" t="s">
        <v>3</v>
      </c>
      <c r="J1" s="1" t="s">
        <v>4</v>
      </c>
      <c r="K1" s="1" t="s">
        <v>378</v>
      </c>
      <c r="L1" s="1" t="s">
        <v>349</v>
      </c>
      <c r="M1" s="1" t="s">
        <v>350</v>
      </c>
      <c r="N1" s="1" t="s">
        <v>351</v>
      </c>
      <c r="O1" s="1" t="s">
        <v>352</v>
      </c>
      <c r="P1" s="1" t="s">
        <v>297</v>
      </c>
      <c r="Q1" s="1" t="s">
        <v>362</v>
      </c>
      <c r="R1" s="1" t="s">
        <v>292</v>
      </c>
      <c r="S1" s="1" t="s">
        <v>372</v>
      </c>
      <c r="T1" s="1" t="s">
        <v>348</v>
      </c>
      <c r="U1" s="1" t="s">
        <v>374</v>
      </c>
    </row>
    <row r="2" spans="1:21" x14ac:dyDescent="0.2">
      <c r="A2" t="s">
        <v>366</v>
      </c>
      <c r="B2" t="str">
        <f>_xlfn.CONCAT(H2, "N ", I2, "E")</f>
        <v>100N 82E</v>
      </c>
      <c r="F2">
        <v>2</v>
      </c>
      <c r="G2" t="s">
        <v>5</v>
      </c>
      <c r="H2">
        <v>100</v>
      </c>
      <c r="I2">
        <v>82</v>
      </c>
      <c r="J2" t="s">
        <v>6</v>
      </c>
      <c r="K2">
        <v>20</v>
      </c>
      <c r="N2" t="s">
        <v>356</v>
      </c>
    </row>
    <row r="3" spans="1:21" x14ac:dyDescent="0.2">
      <c r="A3" t="s">
        <v>366</v>
      </c>
      <c r="B3" t="str">
        <f t="shared" ref="B3:B43" si="0">_xlfn.CONCAT(H3, "N ", I3, "E")</f>
        <v>100N 97E</v>
      </c>
      <c r="F3">
        <v>3</v>
      </c>
      <c r="G3" t="s">
        <v>7</v>
      </c>
      <c r="H3">
        <v>100</v>
      </c>
      <c r="I3">
        <v>97</v>
      </c>
      <c r="J3" t="s">
        <v>6</v>
      </c>
      <c r="K3">
        <v>20</v>
      </c>
      <c r="L3" t="s">
        <v>376</v>
      </c>
      <c r="N3" t="s">
        <v>357</v>
      </c>
    </row>
    <row r="4" spans="1:21" x14ac:dyDescent="0.2">
      <c r="A4" t="s">
        <v>366</v>
      </c>
      <c r="B4" t="str">
        <f t="shared" si="0"/>
        <v>100N 97E</v>
      </c>
      <c r="F4">
        <v>4</v>
      </c>
      <c r="G4" t="s">
        <v>289</v>
      </c>
      <c r="H4">
        <v>100</v>
      </c>
      <c r="I4">
        <v>97</v>
      </c>
      <c r="J4" t="s">
        <v>6</v>
      </c>
      <c r="K4">
        <v>20</v>
      </c>
      <c r="M4" t="s">
        <v>376</v>
      </c>
      <c r="N4" t="s">
        <v>356</v>
      </c>
      <c r="Q4" t="s">
        <v>8</v>
      </c>
    </row>
    <row r="5" spans="1:21" x14ac:dyDescent="0.2">
      <c r="A5" t="s">
        <v>366</v>
      </c>
      <c r="B5" t="str">
        <f t="shared" si="0"/>
        <v>100N 97E</v>
      </c>
      <c r="F5">
        <v>5</v>
      </c>
      <c r="G5" t="s">
        <v>9</v>
      </c>
      <c r="H5">
        <v>100</v>
      </c>
      <c r="I5">
        <v>97</v>
      </c>
      <c r="J5" t="s">
        <v>6</v>
      </c>
      <c r="K5">
        <v>20</v>
      </c>
      <c r="L5" t="s">
        <v>376</v>
      </c>
      <c r="N5" t="s">
        <v>356</v>
      </c>
    </row>
    <row r="6" spans="1:21" x14ac:dyDescent="0.2">
      <c r="A6" t="s">
        <v>366</v>
      </c>
      <c r="B6" t="str">
        <f t="shared" si="0"/>
        <v>100N 97E</v>
      </c>
      <c r="F6">
        <v>6</v>
      </c>
      <c r="G6" t="s">
        <v>10</v>
      </c>
      <c r="H6">
        <v>100</v>
      </c>
      <c r="I6">
        <v>97</v>
      </c>
      <c r="J6" t="s">
        <v>6</v>
      </c>
      <c r="K6">
        <v>20</v>
      </c>
      <c r="L6" t="s">
        <v>376</v>
      </c>
      <c r="N6" t="s">
        <v>356</v>
      </c>
    </row>
    <row r="7" spans="1:21" x14ac:dyDescent="0.2">
      <c r="A7" t="s">
        <v>366</v>
      </c>
      <c r="B7" t="str">
        <f t="shared" si="0"/>
        <v>100N 97E</v>
      </c>
      <c r="F7">
        <v>7</v>
      </c>
      <c r="G7" t="s">
        <v>11</v>
      </c>
      <c r="H7">
        <v>100</v>
      </c>
      <c r="I7">
        <v>97</v>
      </c>
      <c r="J7" t="s">
        <v>12</v>
      </c>
      <c r="K7" t="s">
        <v>12</v>
      </c>
      <c r="L7" t="s">
        <v>376</v>
      </c>
      <c r="N7" t="s">
        <v>356</v>
      </c>
    </row>
    <row r="8" spans="1:21" x14ac:dyDescent="0.2">
      <c r="A8" t="s">
        <v>366</v>
      </c>
      <c r="B8" t="str">
        <f t="shared" si="0"/>
        <v>100N 97E</v>
      </c>
      <c r="F8">
        <v>8</v>
      </c>
      <c r="G8" t="s">
        <v>13</v>
      </c>
      <c r="H8">
        <v>100</v>
      </c>
      <c r="I8">
        <v>97</v>
      </c>
      <c r="J8" t="s">
        <v>12</v>
      </c>
      <c r="K8" t="s">
        <v>12</v>
      </c>
      <c r="L8" t="s">
        <v>376</v>
      </c>
      <c r="N8" t="s">
        <v>356</v>
      </c>
    </row>
    <row r="9" spans="1:21" x14ac:dyDescent="0.2">
      <c r="A9" t="s">
        <v>366</v>
      </c>
      <c r="B9" t="str">
        <f t="shared" si="0"/>
        <v>100N 82E</v>
      </c>
      <c r="F9">
        <v>9</v>
      </c>
      <c r="G9" t="s">
        <v>14</v>
      </c>
      <c r="H9">
        <v>100</v>
      </c>
      <c r="I9">
        <v>82</v>
      </c>
      <c r="J9" t="s">
        <v>12</v>
      </c>
      <c r="K9" t="s">
        <v>12</v>
      </c>
      <c r="N9" t="s">
        <v>358</v>
      </c>
    </row>
    <row r="10" spans="1:21" x14ac:dyDescent="0.2">
      <c r="A10" t="s">
        <v>366</v>
      </c>
      <c r="B10" t="str">
        <f t="shared" si="0"/>
        <v>100N 97E</v>
      </c>
      <c r="F10">
        <v>10</v>
      </c>
      <c r="G10" t="s">
        <v>15</v>
      </c>
      <c r="H10">
        <v>100</v>
      </c>
      <c r="I10">
        <v>97</v>
      </c>
      <c r="J10" t="s">
        <v>12</v>
      </c>
      <c r="K10" t="s">
        <v>12</v>
      </c>
      <c r="L10" t="s">
        <v>376</v>
      </c>
      <c r="N10" t="s">
        <v>357</v>
      </c>
    </row>
    <row r="11" spans="1:21" x14ac:dyDescent="0.2">
      <c r="A11" t="s">
        <v>366</v>
      </c>
      <c r="B11" t="str">
        <f t="shared" si="0"/>
        <v>100N 97E</v>
      </c>
      <c r="F11">
        <v>11</v>
      </c>
      <c r="G11" t="s">
        <v>16</v>
      </c>
      <c r="H11">
        <v>100</v>
      </c>
      <c r="I11">
        <v>97</v>
      </c>
      <c r="J11" t="s">
        <v>17</v>
      </c>
      <c r="K11" t="s">
        <v>17</v>
      </c>
      <c r="L11" t="s">
        <v>376</v>
      </c>
      <c r="N11" t="s">
        <v>356</v>
      </c>
    </row>
    <row r="12" spans="1:21" x14ac:dyDescent="0.2">
      <c r="A12" t="s">
        <v>366</v>
      </c>
      <c r="B12" t="str">
        <f t="shared" si="0"/>
        <v>100N 97E</v>
      </c>
      <c r="F12">
        <v>12</v>
      </c>
      <c r="G12" t="s">
        <v>18</v>
      </c>
      <c r="H12">
        <v>100</v>
      </c>
      <c r="I12">
        <v>97</v>
      </c>
      <c r="J12" t="s">
        <v>12</v>
      </c>
      <c r="K12" t="s">
        <v>12</v>
      </c>
      <c r="L12" t="s">
        <v>376</v>
      </c>
      <c r="M12" t="s">
        <v>377</v>
      </c>
      <c r="N12" t="s">
        <v>356</v>
      </c>
    </row>
    <row r="13" spans="1:21" x14ac:dyDescent="0.2">
      <c r="A13" t="s">
        <v>366</v>
      </c>
      <c r="B13" t="str">
        <f t="shared" si="0"/>
        <v>100N 82E</v>
      </c>
      <c r="F13">
        <v>13</v>
      </c>
      <c r="G13" t="s">
        <v>19</v>
      </c>
      <c r="H13">
        <v>100</v>
      </c>
      <c r="I13">
        <v>82</v>
      </c>
      <c r="J13" t="s">
        <v>17</v>
      </c>
      <c r="K13" t="s">
        <v>17</v>
      </c>
      <c r="N13" t="s">
        <v>357</v>
      </c>
    </row>
    <row r="14" spans="1:21" x14ac:dyDescent="0.2">
      <c r="A14" t="s">
        <v>366</v>
      </c>
      <c r="B14" t="str">
        <f t="shared" si="0"/>
        <v>100N 82E</v>
      </c>
      <c r="F14">
        <v>14</v>
      </c>
      <c r="G14" t="s">
        <v>20</v>
      </c>
      <c r="H14">
        <v>100</v>
      </c>
      <c r="I14">
        <v>82</v>
      </c>
      <c r="J14" t="s">
        <v>17</v>
      </c>
      <c r="K14" t="s">
        <v>17</v>
      </c>
      <c r="N14" t="s">
        <v>356</v>
      </c>
    </row>
    <row r="15" spans="1:21" x14ac:dyDescent="0.2">
      <c r="A15" t="s">
        <v>366</v>
      </c>
      <c r="B15" t="str">
        <f t="shared" si="0"/>
        <v>100N 82E</v>
      </c>
      <c r="F15">
        <v>15</v>
      </c>
      <c r="G15" t="s">
        <v>21</v>
      </c>
      <c r="H15">
        <v>100</v>
      </c>
      <c r="I15">
        <v>82</v>
      </c>
      <c r="J15" t="s">
        <v>22</v>
      </c>
      <c r="N15" t="s">
        <v>356</v>
      </c>
    </row>
    <row r="16" spans="1:21" x14ac:dyDescent="0.2">
      <c r="A16" t="s">
        <v>366</v>
      </c>
      <c r="B16" t="str">
        <f t="shared" si="0"/>
        <v>100N 82E</v>
      </c>
      <c r="F16">
        <v>16</v>
      </c>
      <c r="G16" t="s">
        <v>23</v>
      </c>
      <c r="H16">
        <v>100</v>
      </c>
      <c r="I16">
        <v>82</v>
      </c>
      <c r="J16" t="s">
        <v>17</v>
      </c>
      <c r="K16" t="s">
        <v>17</v>
      </c>
      <c r="N16" t="s">
        <v>356</v>
      </c>
    </row>
    <row r="17" spans="1:21" x14ac:dyDescent="0.2">
      <c r="A17" t="s">
        <v>366</v>
      </c>
      <c r="B17" t="str">
        <f t="shared" si="0"/>
        <v>100N 82E</v>
      </c>
      <c r="F17">
        <v>17</v>
      </c>
      <c r="G17" t="s">
        <v>24</v>
      </c>
      <c r="H17">
        <v>100</v>
      </c>
      <c r="I17">
        <v>82</v>
      </c>
      <c r="J17" t="s">
        <v>25</v>
      </c>
      <c r="K17" t="s">
        <v>12</v>
      </c>
      <c r="N17" t="s">
        <v>353</v>
      </c>
    </row>
    <row r="18" spans="1:21" x14ac:dyDescent="0.2">
      <c r="A18" t="s">
        <v>366</v>
      </c>
      <c r="B18" t="str">
        <f t="shared" si="0"/>
        <v>100N 82E</v>
      </c>
      <c r="F18">
        <v>18</v>
      </c>
      <c r="G18" t="s">
        <v>26</v>
      </c>
      <c r="H18">
        <v>100</v>
      </c>
      <c r="I18">
        <v>82</v>
      </c>
      <c r="J18" t="s">
        <v>12</v>
      </c>
      <c r="K18" t="s">
        <v>12</v>
      </c>
      <c r="N18" t="s">
        <v>353</v>
      </c>
    </row>
    <row r="19" spans="1:21" x14ac:dyDescent="0.2">
      <c r="A19" t="s">
        <v>366</v>
      </c>
      <c r="B19" t="str">
        <f t="shared" si="0"/>
        <v>100N 82E</v>
      </c>
      <c r="F19">
        <v>19</v>
      </c>
      <c r="G19" t="s">
        <v>27</v>
      </c>
      <c r="H19">
        <v>100</v>
      </c>
      <c r="I19">
        <v>82</v>
      </c>
      <c r="J19" t="s">
        <v>17</v>
      </c>
      <c r="K19" t="s">
        <v>17</v>
      </c>
      <c r="N19" t="s">
        <v>357</v>
      </c>
    </row>
    <row r="20" spans="1:21" x14ac:dyDescent="0.2">
      <c r="A20" t="s">
        <v>366</v>
      </c>
      <c r="B20" t="str">
        <f t="shared" si="0"/>
        <v>100N 97E</v>
      </c>
      <c r="F20">
        <v>20</v>
      </c>
      <c r="G20" t="s">
        <v>19</v>
      </c>
      <c r="H20">
        <v>100</v>
      </c>
      <c r="I20">
        <v>97</v>
      </c>
      <c r="J20" t="s">
        <v>17</v>
      </c>
      <c r="K20" t="s">
        <v>17</v>
      </c>
      <c r="L20" t="s">
        <v>376</v>
      </c>
      <c r="N20" t="s">
        <v>357</v>
      </c>
    </row>
    <row r="21" spans="1:21" x14ac:dyDescent="0.2">
      <c r="A21" t="s">
        <v>366</v>
      </c>
      <c r="B21" t="str">
        <f t="shared" si="0"/>
        <v>100N 82E</v>
      </c>
      <c r="F21">
        <v>21</v>
      </c>
      <c r="G21" t="s">
        <v>28</v>
      </c>
      <c r="H21" s="2">
        <v>100</v>
      </c>
      <c r="I21" s="2">
        <v>82</v>
      </c>
      <c r="J21" t="s">
        <v>29</v>
      </c>
      <c r="K21" t="s">
        <v>29</v>
      </c>
      <c r="N21" t="s">
        <v>356</v>
      </c>
    </row>
    <row r="22" spans="1:21" x14ac:dyDescent="0.2">
      <c r="A22" t="s">
        <v>366</v>
      </c>
      <c r="B22" t="str">
        <f t="shared" si="0"/>
        <v>100N 82E</v>
      </c>
      <c r="F22">
        <v>22</v>
      </c>
      <c r="G22" t="s">
        <v>30</v>
      </c>
      <c r="H22" s="2">
        <v>100</v>
      </c>
      <c r="I22" s="2">
        <v>82</v>
      </c>
      <c r="J22" t="s">
        <v>17</v>
      </c>
      <c r="K22" t="s">
        <v>17</v>
      </c>
      <c r="N22" t="s">
        <v>356</v>
      </c>
    </row>
    <row r="23" spans="1:21" x14ac:dyDescent="0.2">
      <c r="A23" t="s">
        <v>366</v>
      </c>
      <c r="B23" t="str">
        <f t="shared" si="0"/>
        <v>100N 97E</v>
      </c>
      <c r="F23">
        <v>23</v>
      </c>
      <c r="G23" t="s">
        <v>31</v>
      </c>
      <c r="H23">
        <v>100</v>
      </c>
      <c r="I23">
        <v>97</v>
      </c>
      <c r="J23" t="s">
        <v>17</v>
      </c>
      <c r="K23" t="s">
        <v>17</v>
      </c>
      <c r="L23" t="s">
        <v>376</v>
      </c>
      <c r="N23" t="s">
        <v>353</v>
      </c>
    </row>
    <row r="24" spans="1:21" x14ac:dyDescent="0.2">
      <c r="A24" t="s">
        <v>366</v>
      </c>
      <c r="B24" t="str">
        <f t="shared" si="0"/>
        <v>100N 97E</v>
      </c>
      <c r="F24">
        <v>24</v>
      </c>
      <c r="G24" t="s">
        <v>32</v>
      </c>
      <c r="H24">
        <v>100</v>
      </c>
      <c r="I24">
        <v>97</v>
      </c>
      <c r="L24" t="s">
        <v>376</v>
      </c>
      <c r="N24" t="s">
        <v>356</v>
      </c>
    </row>
    <row r="25" spans="1:21" x14ac:dyDescent="0.2">
      <c r="A25" t="s">
        <v>366</v>
      </c>
      <c r="B25" t="str">
        <f t="shared" si="0"/>
        <v>100N 97E</v>
      </c>
      <c r="F25">
        <v>25</v>
      </c>
      <c r="G25" t="s">
        <v>26</v>
      </c>
      <c r="H25">
        <v>100</v>
      </c>
      <c r="I25">
        <v>97</v>
      </c>
      <c r="J25" t="s">
        <v>17</v>
      </c>
      <c r="K25" t="s">
        <v>17</v>
      </c>
      <c r="L25" t="s">
        <v>376</v>
      </c>
      <c r="N25" t="s">
        <v>353</v>
      </c>
      <c r="T25" t="s">
        <v>373</v>
      </c>
      <c r="U25" t="s">
        <v>373</v>
      </c>
    </row>
    <row r="26" spans="1:21" x14ac:dyDescent="0.2">
      <c r="A26" t="s">
        <v>366</v>
      </c>
      <c r="B26" t="str">
        <f t="shared" si="0"/>
        <v>100N 82E</v>
      </c>
      <c r="F26">
        <v>26</v>
      </c>
      <c r="G26" t="s">
        <v>33</v>
      </c>
      <c r="H26">
        <v>100</v>
      </c>
      <c r="I26">
        <v>82</v>
      </c>
      <c r="N26" t="s">
        <v>356</v>
      </c>
    </row>
    <row r="27" spans="1:21" x14ac:dyDescent="0.2">
      <c r="A27" t="s">
        <v>366</v>
      </c>
      <c r="B27" t="str">
        <f t="shared" si="0"/>
        <v>100N 97E</v>
      </c>
      <c r="F27">
        <v>27</v>
      </c>
      <c r="G27" t="s">
        <v>34</v>
      </c>
      <c r="H27" s="2">
        <v>100</v>
      </c>
      <c r="I27" s="2">
        <v>97</v>
      </c>
      <c r="N27" t="s">
        <v>356</v>
      </c>
    </row>
    <row r="28" spans="1:21" x14ac:dyDescent="0.2">
      <c r="A28" t="s">
        <v>366</v>
      </c>
      <c r="B28" t="str">
        <f t="shared" si="0"/>
        <v>100N 82E</v>
      </c>
      <c r="F28">
        <v>28</v>
      </c>
      <c r="G28" t="s">
        <v>35</v>
      </c>
      <c r="H28">
        <v>100</v>
      </c>
      <c r="I28">
        <v>82</v>
      </c>
      <c r="N28" t="s">
        <v>358</v>
      </c>
    </row>
    <row r="29" spans="1:21" x14ac:dyDescent="0.2">
      <c r="A29" t="s">
        <v>366</v>
      </c>
      <c r="B29" t="str">
        <f t="shared" si="0"/>
        <v>100N 97E</v>
      </c>
      <c r="F29">
        <v>29</v>
      </c>
      <c r="G29" t="s">
        <v>89</v>
      </c>
      <c r="H29">
        <v>100</v>
      </c>
      <c r="I29">
        <v>97</v>
      </c>
      <c r="L29" t="s">
        <v>376</v>
      </c>
      <c r="N29" t="s">
        <v>356</v>
      </c>
      <c r="Q29" t="s">
        <v>290</v>
      </c>
    </row>
    <row r="30" spans="1:21" x14ac:dyDescent="0.2">
      <c r="A30" t="s">
        <v>366</v>
      </c>
      <c r="B30" t="str">
        <f t="shared" si="0"/>
        <v>100N 82E</v>
      </c>
      <c r="F30">
        <v>30</v>
      </c>
      <c r="G30" t="s">
        <v>36</v>
      </c>
      <c r="H30" s="2">
        <v>100</v>
      </c>
      <c r="I30" s="2">
        <v>82</v>
      </c>
      <c r="J30" t="s">
        <v>29</v>
      </c>
      <c r="K30" t="s">
        <v>29</v>
      </c>
      <c r="N30" t="s">
        <v>356</v>
      </c>
    </row>
    <row r="31" spans="1:21" x14ac:dyDescent="0.2">
      <c r="A31" t="s">
        <v>366</v>
      </c>
      <c r="B31" t="str">
        <f t="shared" si="0"/>
        <v>100N 82E</v>
      </c>
      <c r="F31">
        <v>31</v>
      </c>
      <c r="G31" t="s">
        <v>291</v>
      </c>
      <c r="H31" s="2">
        <v>100</v>
      </c>
      <c r="I31" s="2">
        <v>82</v>
      </c>
      <c r="N31" t="s">
        <v>353</v>
      </c>
      <c r="Q31" t="s">
        <v>290</v>
      </c>
      <c r="R31" t="s">
        <v>293</v>
      </c>
    </row>
    <row r="32" spans="1:21" x14ac:dyDescent="0.2">
      <c r="A32" t="s">
        <v>366</v>
      </c>
      <c r="B32" t="str">
        <f t="shared" si="0"/>
        <v>100N 82E</v>
      </c>
      <c r="F32">
        <v>32</v>
      </c>
      <c r="G32" t="s">
        <v>291</v>
      </c>
      <c r="H32" s="2">
        <v>100</v>
      </c>
      <c r="I32" s="2">
        <v>82</v>
      </c>
      <c r="N32" t="s">
        <v>353</v>
      </c>
      <c r="Q32" t="s">
        <v>290</v>
      </c>
      <c r="R32" t="s">
        <v>293</v>
      </c>
    </row>
    <row r="33" spans="1:21" x14ac:dyDescent="0.2">
      <c r="A33" t="s">
        <v>366</v>
      </c>
      <c r="B33" t="str">
        <f t="shared" si="0"/>
        <v>100N 82E</v>
      </c>
      <c r="F33">
        <v>33</v>
      </c>
      <c r="G33" t="s">
        <v>37</v>
      </c>
      <c r="H33" s="2">
        <v>100</v>
      </c>
      <c r="I33" s="2">
        <v>82</v>
      </c>
      <c r="N33" t="s">
        <v>353</v>
      </c>
    </row>
    <row r="34" spans="1:21" x14ac:dyDescent="0.2">
      <c r="A34" t="s">
        <v>366</v>
      </c>
      <c r="B34" t="str">
        <f t="shared" si="0"/>
        <v>100N 82E</v>
      </c>
      <c r="F34">
        <v>34</v>
      </c>
      <c r="G34" t="s">
        <v>38</v>
      </c>
      <c r="H34" s="2">
        <v>100</v>
      </c>
      <c r="I34" s="2">
        <v>82</v>
      </c>
      <c r="N34" t="s">
        <v>353</v>
      </c>
    </row>
    <row r="35" spans="1:21" x14ac:dyDescent="0.2">
      <c r="A35" t="s">
        <v>366</v>
      </c>
      <c r="B35" t="str">
        <f t="shared" si="0"/>
        <v>100N 97E</v>
      </c>
      <c r="F35">
        <v>35</v>
      </c>
      <c r="G35" t="s">
        <v>39</v>
      </c>
      <c r="H35">
        <v>100</v>
      </c>
      <c r="I35">
        <v>97</v>
      </c>
      <c r="L35" t="s">
        <v>376</v>
      </c>
      <c r="N35" t="s">
        <v>356</v>
      </c>
    </row>
    <row r="36" spans="1:21" x14ac:dyDescent="0.2">
      <c r="A36" t="s">
        <v>366</v>
      </c>
      <c r="B36" t="str">
        <f t="shared" si="0"/>
        <v>100N 97E</v>
      </c>
      <c r="F36">
        <v>36</v>
      </c>
      <c r="G36" t="s">
        <v>40</v>
      </c>
      <c r="H36">
        <v>100</v>
      </c>
      <c r="I36">
        <v>97</v>
      </c>
      <c r="J36" t="s">
        <v>17</v>
      </c>
      <c r="K36" t="s">
        <v>17</v>
      </c>
      <c r="L36" t="s">
        <v>376</v>
      </c>
      <c r="N36" t="s">
        <v>356</v>
      </c>
    </row>
    <row r="37" spans="1:21" x14ac:dyDescent="0.2">
      <c r="A37" t="s">
        <v>366</v>
      </c>
      <c r="B37" t="str">
        <f t="shared" si="0"/>
        <v>100N 97E</v>
      </c>
      <c r="F37">
        <v>37</v>
      </c>
      <c r="G37" t="s">
        <v>41</v>
      </c>
      <c r="H37">
        <v>100</v>
      </c>
      <c r="I37">
        <v>97</v>
      </c>
      <c r="J37" t="s">
        <v>42</v>
      </c>
      <c r="L37" t="s">
        <v>376</v>
      </c>
      <c r="N37" t="s">
        <v>356</v>
      </c>
      <c r="S37" t="s">
        <v>371</v>
      </c>
      <c r="U37" t="s">
        <v>371</v>
      </c>
    </row>
    <row r="38" spans="1:21" x14ac:dyDescent="0.2">
      <c r="A38" t="s">
        <v>366</v>
      </c>
      <c r="B38" t="str">
        <f t="shared" si="0"/>
        <v>100N 82E</v>
      </c>
      <c r="F38">
        <v>38</v>
      </c>
      <c r="G38" t="s">
        <v>15</v>
      </c>
      <c r="H38">
        <v>100</v>
      </c>
      <c r="I38">
        <v>82</v>
      </c>
      <c r="J38" t="s">
        <v>43</v>
      </c>
      <c r="N38" t="s">
        <v>357</v>
      </c>
      <c r="P38">
        <v>1.94</v>
      </c>
    </row>
    <row r="39" spans="1:21" x14ac:dyDescent="0.2">
      <c r="A39" t="s">
        <v>366</v>
      </c>
      <c r="B39" t="str">
        <f t="shared" si="0"/>
        <v>100N 97E</v>
      </c>
      <c r="F39">
        <v>39</v>
      </c>
      <c r="G39" t="s">
        <v>44</v>
      </c>
      <c r="H39">
        <v>100</v>
      </c>
      <c r="I39">
        <v>97</v>
      </c>
      <c r="L39" t="s">
        <v>376</v>
      </c>
      <c r="N39" t="s">
        <v>356</v>
      </c>
      <c r="P39">
        <v>2.58</v>
      </c>
    </row>
    <row r="40" spans="1:21" x14ac:dyDescent="0.2">
      <c r="A40" t="s">
        <v>366</v>
      </c>
      <c r="B40" t="str">
        <f t="shared" si="0"/>
        <v>100N 97E</v>
      </c>
      <c r="F40">
        <v>40</v>
      </c>
      <c r="G40" t="s">
        <v>45</v>
      </c>
      <c r="H40">
        <v>100</v>
      </c>
      <c r="I40">
        <v>97</v>
      </c>
      <c r="J40" t="s">
        <v>17</v>
      </c>
      <c r="K40" t="s">
        <v>17</v>
      </c>
      <c r="L40" t="s">
        <v>376</v>
      </c>
      <c r="N40" t="s">
        <v>356</v>
      </c>
      <c r="P40">
        <v>2.25</v>
      </c>
    </row>
    <row r="41" spans="1:21" x14ac:dyDescent="0.2">
      <c r="A41" t="s">
        <v>366</v>
      </c>
      <c r="B41" t="str">
        <f t="shared" si="0"/>
        <v>100N 97E</v>
      </c>
      <c r="F41">
        <v>41</v>
      </c>
      <c r="G41" t="s">
        <v>27</v>
      </c>
      <c r="H41">
        <v>100</v>
      </c>
      <c r="I41">
        <v>97</v>
      </c>
      <c r="J41" t="s">
        <v>17</v>
      </c>
      <c r="K41" t="s">
        <v>17</v>
      </c>
      <c r="N41" t="s">
        <v>357</v>
      </c>
      <c r="P41">
        <v>2.4300000000000002</v>
      </c>
    </row>
    <row r="42" spans="1:21" x14ac:dyDescent="0.2">
      <c r="A42" t="s">
        <v>366</v>
      </c>
      <c r="B42" t="str">
        <f t="shared" si="0"/>
        <v>100N 82E</v>
      </c>
      <c r="F42">
        <v>42</v>
      </c>
      <c r="G42" t="s">
        <v>34</v>
      </c>
      <c r="H42">
        <v>100</v>
      </c>
      <c r="I42">
        <v>82</v>
      </c>
      <c r="N42" t="s">
        <v>356</v>
      </c>
      <c r="P42">
        <v>2.16</v>
      </c>
    </row>
    <row r="43" spans="1:21" x14ac:dyDescent="0.2">
      <c r="A43" t="s">
        <v>366</v>
      </c>
      <c r="B43" t="str">
        <f t="shared" si="0"/>
        <v>100N 97E</v>
      </c>
      <c r="F43">
        <v>43</v>
      </c>
      <c r="G43" t="s">
        <v>46</v>
      </c>
      <c r="H43" s="2">
        <v>100</v>
      </c>
      <c r="I43" s="2">
        <v>97</v>
      </c>
      <c r="J43" t="s">
        <v>6</v>
      </c>
      <c r="K43" t="s">
        <v>6</v>
      </c>
      <c r="P43">
        <v>2.09</v>
      </c>
    </row>
    <row r="44" spans="1:21" x14ac:dyDescent="0.2">
      <c r="A44" t="s">
        <v>366</v>
      </c>
      <c r="F44">
        <v>44</v>
      </c>
      <c r="G44" t="s">
        <v>47</v>
      </c>
      <c r="N44" t="s">
        <v>356</v>
      </c>
      <c r="P44">
        <v>2.13</v>
      </c>
      <c r="Q44" t="s">
        <v>290</v>
      </c>
      <c r="R44" t="s">
        <v>293</v>
      </c>
    </row>
    <row r="45" spans="1:21" x14ac:dyDescent="0.2">
      <c r="A45" t="s">
        <v>366</v>
      </c>
      <c r="F45">
        <v>45</v>
      </c>
      <c r="G45" t="s">
        <v>47</v>
      </c>
      <c r="N45" t="s">
        <v>356</v>
      </c>
    </row>
    <row r="46" spans="1:21" x14ac:dyDescent="0.2">
      <c r="A46" t="s">
        <v>366</v>
      </c>
      <c r="F46">
        <v>46</v>
      </c>
      <c r="G46" t="s">
        <v>40</v>
      </c>
      <c r="N46" t="s">
        <v>356</v>
      </c>
    </row>
    <row r="47" spans="1:21" x14ac:dyDescent="0.2">
      <c r="A47" t="s">
        <v>366</v>
      </c>
      <c r="B47" t="str">
        <f t="shared" ref="B47:B110" si="1">_xlfn.CONCAT(H47, "N ", I47, "E")</f>
        <v>100N 82E</v>
      </c>
      <c r="F47">
        <v>47</v>
      </c>
      <c r="G47" t="s">
        <v>61</v>
      </c>
      <c r="H47">
        <v>100</v>
      </c>
      <c r="I47">
        <v>82</v>
      </c>
      <c r="J47" t="s">
        <v>43</v>
      </c>
      <c r="N47" t="s">
        <v>357</v>
      </c>
      <c r="P47">
        <v>2.12</v>
      </c>
      <c r="Q47" t="s">
        <v>48</v>
      </c>
    </row>
    <row r="48" spans="1:21" x14ac:dyDescent="0.2">
      <c r="A48" t="s">
        <v>366</v>
      </c>
      <c r="B48" t="str">
        <f t="shared" si="1"/>
        <v>100N 82E</v>
      </c>
      <c r="F48">
        <v>48</v>
      </c>
      <c r="G48" t="s">
        <v>49</v>
      </c>
      <c r="H48">
        <v>100</v>
      </c>
      <c r="I48">
        <v>82</v>
      </c>
      <c r="J48" t="s">
        <v>43</v>
      </c>
      <c r="N48" t="s">
        <v>353</v>
      </c>
      <c r="P48">
        <v>2.13</v>
      </c>
    </row>
    <row r="49" spans="1:18" x14ac:dyDescent="0.2">
      <c r="A49" t="s">
        <v>366</v>
      </c>
      <c r="B49" t="str">
        <f t="shared" si="1"/>
        <v>100N 82E</v>
      </c>
      <c r="F49">
        <v>49</v>
      </c>
      <c r="G49" t="s">
        <v>94</v>
      </c>
      <c r="H49">
        <v>100</v>
      </c>
      <c r="I49">
        <v>82</v>
      </c>
      <c r="N49" t="s">
        <v>356</v>
      </c>
      <c r="Q49" t="s">
        <v>290</v>
      </c>
      <c r="R49" t="s">
        <v>293</v>
      </c>
    </row>
    <row r="50" spans="1:18" x14ac:dyDescent="0.2">
      <c r="A50" t="s">
        <v>366</v>
      </c>
      <c r="B50" t="str">
        <f t="shared" si="1"/>
        <v>100N 82E</v>
      </c>
      <c r="F50">
        <v>50</v>
      </c>
      <c r="G50" t="s">
        <v>40</v>
      </c>
      <c r="H50">
        <v>100</v>
      </c>
      <c r="I50">
        <v>82</v>
      </c>
      <c r="N50" t="s">
        <v>356</v>
      </c>
      <c r="Q50" t="s">
        <v>290</v>
      </c>
      <c r="R50" t="s">
        <v>293</v>
      </c>
    </row>
    <row r="51" spans="1:18" x14ac:dyDescent="0.2">
      <c r="A51" t="s">
        <v>366</v>
      </c>
      <c r="B51" t="str">
        <f t="shared" si="1"/>
        <v>100N 82E</v>
      </c>
      <c r="F51">
        <v>51</v>
      </c>
      <c r="G51" t="s">
        <v>50</v>
      </c>
      <c r="H51">
        <v>100</v>
      </c>
      <c r="I51">
        <v>82</v>
      </c>
      <c r="J51" t="s">
        <v>29</v>
      </c>
      <c r="K51" t="s">
        <v>29</v>
      </c>
      <c r="N51" t="s">
        <v>358</v>
      </c>
      <c r="P51">
        <v>2.25</v>
      </c>
    </row>
    <row r="52" spans="1:18" x14ac:dyDescent="0.2">
      <c r="A52" t="s">
        <v>366</v>
      </c>
      <c r="B52" t="str">
        <f t="shared" si="1"/>
        <v>100N 82E</v>
      </c>
      <c r="F52">
        <v>52</v>
      </c>
      <c r="G52" t="s">
        <v>51</v>
      </c>
      <c r="H52">
        <v>100</v>
      </c>
      <c r="I52">
        <v>82</v>
      </c>
      <c r="J52" t="s">
        <v>43</v>
      </c>
      <c r="N52" t="s">
        <v>356</v>
      </c>
      <c r="P52">
        <v>2.2799999999999998</v>
      </c>
    </row>
    <row r="53" spans="1:18" x14ac:dyDescent="0.2">
      <c r="A53" t="s">
        <v>366</v>
      </c>
      <c r="B53" t="str">
        <f t="shared" si="1"/>
        <v>100N 82E</v>
      </c>
      <c r="F53">
        <v>53</v>
      </c>
      <c r="G53" t="s">
        <v>52</v>
      </c>
      <c r="H53">
        <v>100</v>
      </c>
      <c r="I53">
        <v>82</v>
      </c>
      <c r="J53" t="s">
        <v>17</v>
      </c>
      <c r="K53" t="s">
        <v>17</v>
      </c>
      <c r="N53" t="s">
        <v>356</v>
      </c>
      <c r="P53">
        <v>2.11</v>
      </c>
    </row>
    <row r="54" spans="1:18" x14ac:dyDescent="0.2">
      <c r="A54" t="s">
        <v>366</v>
      </c>
      <c r="B54" t="str">
        <f t="shared" si="1"/>
        <v>100N 82E</v>
      </c>
      <c r="F54">
        <v>54</v>
      </c>
      <c r="G54" t="s">
        <v>49</v>
      </c>
      <c r="H54">
        <v>100</v>
      </c>
      <c r="I54">
        <v>82</v>
      </c>
      <c r="N54" t="s">
        <v>353</v>
      </c>
      <c r="Q54" t="s">
        <v>290</v>
      </c>
      <c r="R54" t="s">
        <v>293</v>
      </c>
    </row>
    <row r="55" spans="1:18" x14ac:dyDescent="0.2">
      <c r="A55" t="s">
        <v>366</v>
      </c>
      <c r="B55" t="str">
        <f t="shared" si="1"/>
        <v>100N 82E</v>
      </c>
      <c r="F55">
        <v>55</v>
      </c>
      <c r="G55" t="s">
        <v>49</v>
      </c>
      <c r="H55">
        <v>100</v>
      </c>
      <c r="I55">
        <v>82</v>
      </c>
      <c r="N55" t="s">
        <v>353</v>
      </c>
      <c r="Q55" t="s">
        <v>290</v>
      </c>
      <c r="R55" t="s">
        <v>293</v>
      </c>
    </row>
    <row r="56" spans="1:18" x14ac:dyDescent="0.2">
      <c r="A56" t="s">
        <v>366</v>
      </c>
      <c r="B56" t="str">
        <f t="shared" si="1"/>
        <v>100N 82E</v>
      </c>
      <c r="F56">
        <v>56</v>
      </c>
      <c r="G56" t="s">
        <v>49</v>
      </c>
      <c r="H56">
        <v>100</v>
      </c>
      <c r="I56">
        <v>82</v>
      </c>
      <c r="N56" t="s">
        <v>353</v>
      </c>
    </row>
    <row r="57" spans="1:18" x14ac:dyDescent="0.2">
      <c r="A57" t="s">
        <v>366</v>
      </c>
      <c r="B57" t="str">
        <f t="shared" si="1"/>
        <v>100N 82E</v>
      </c>
      <c r="F57">
        <v>57</v>
      </c>
      <c r="G57" t="s">
        <v>53</v>
      </c>
      <c r="H57">
        <v>100</v>
      </c>
      <c r="I57">
        <v>82</v>
      </c>
      <c r="J57" t="s">
        <v>17</v>
      </c>
      <c r="K57" t="s">
        <v>17</v>
      </c>
      <c r="N57" t="s">
        <v>356</v>
      </c>
      <c r="P57">
        <v>2.2999999999999998</v>
      </c>
    </row>
    <row r="58" spans="1:18" x14ac:dyDescent="0.2">
      <c r="A58" t="s">
        <v>366</v>
      </c>
      <c r="B58" t="str">
        <f t="shared" si="1"/>
        <v>100N 82E</v>
      </c>
      <c r="F58">
        <v>58</v>
      </c>
      <c r="G58" t="s">
        <v>45</v>
      </c>
      <c r="H58">
        <v>100</v>
      </c>
      <c r="I58">
        <v>82</v>
      </c>
      <c r="J58" t="s">
        <v>17</v>
      </c>
      <c r="K58" t="s">
        <v>17</v>
      </c>
      <c r="N58" t="s">
        <v>356</v>
      </c>
      <c r="P58">
        <v>2.19</v>
      </c>
    </row>
    <row r="59" spans="1:18" x14ac:dyDescent="0.2">
      <c r="A59" t="s">
        <v>366</v>
      </c>
      <c r="B59" t="str">
        <f t="shared" si="1"/>
        <v>100N 82E</v>
      </c>
      <c r="F59">
        <v>59</v>
      </c>
      <c r="G59" t="s">
        <v>54</v>
      </c>
      <c r="H59">
        <v>100</v>
      </c>
      <c r="I59">
        <v>82</v>
      </c>
      <c r="J59" t="s">
        <v>55</v>
      </c>
      <c r="K59" t="s">
        <v>55</v>
      </c>
      <c r="N59" t="s">
        <v>356</v>
      </c>
      <c r="P59">
        <v>2.3199999999999998</v>
      </c>
    </row>
    <row r="60" spans="1:18" x14ac:dyDescent="0.2">
      <c r="A60" t="s">
        <v>366</v>
      </c>
      <c r="B60" t="str">
        <f t="shared" si="1"/>
        <v>100N 82E</v>
      </c>
      <c r="F60">
        <v>60</v>
      </c>
      <c r="G60" t="s">
        <v>56</v>
      </c>
      <c r="H60">
        <v>100</v>
      </c>
      <c r="I60">
        <v>82</v>
      </c>
      <c r="N60" t="s">
        <v>356</v>
      </c>
      <c r="P60">
        <v>2.33</v>
      </c>
    </row>
    <row r="61" spans="1:18" x14ac:dyDescent="0.2">
      <c r="A61" t="s">
        <v>366</v>
      </c>
      <c r="B61" t="str">
        <f t="shared" si="1"/>
        <v>100N 82E</v>
      </c>
      <c r="F61">
        <v>61</v>
      </c>
      <c r="G61" t="s">
        <v>294</v>
      </c>
      <c r="H61">
        <v>100</v>
      </c>
      <c r="I61">
        <v>82</v>
      </c>
      <c r="N61" t="s">
        <v>353</v>
      </c>
      <c r="Q61" t="s">
        <v>290</v>
      </c>
      <c r="R61" t="s">
        <v>293</v>
      </c>
    </row>
    <row r="62" spans="1:18" x14ac:dyDescent="0.2">
      <c r="A62" t="s">
        <v>366</v>
      </c>
      <c r="B62" t="str">
        <f t="shared" si="1"/>
        <v>100N 82E</v>
      </c>
      <c r="F62">
        <v>62</v>
      </c>
      <c r="G62" t="s">
        <v>57</v>
      </c>
      <c r="H62">
        <v>100</v>
      </c>
      <c r="I62">
        <v>82</v>
      </c>
      <c r="J62" t="s">
        <v>43</v>
      </c>
      <c r="N62" t="s">
        <v>356</v>
      </c>
      <c r="P62">
        <v>2.29</v>
      </c>
    </row>
    <row r="63" spans="1:18" x14ac:dyDescent="0.2">
      <c r="A63" t="s">
        <v>366</v>
      </c>
      <c r="B63" t="str">
        <f t="shared" si="1"/>
        <v>100N 82E</v>
      </c>
      <c r="F63">
        <v>63</v>
      </c>
      <c r="G63" t="s">
        <v>58</v>
      </c>
      <c r="H63">
        <v>100</v>
      </c>
      <c r="I63">
        <v>82</v>
      </c>
      <c r="J63" t="s">
        <v>17</v>
      </c>
      <c r="K63" t="s">
        <v>17</v>
      </c>
      <c r="N63" t="s">
        <v>357</v>
      </c>
      <c r="P63">
        <v>2.2200000000000002</v>
      </c>
    </row>
    <row r="64" spans="1:18" x14ac:dyDescent="0.2">
      <c r="A64" t="s">
        <v>366</v>
      </c>
      <c r="B64" t="str">
        <f t="shared" si="1"/>
        <v>97N 88E</v>
      </c>
      <c r="F64">
        <v>64</v>
      </c>
      <c r="G64" t="s">
        <v>295</v>
      </c>
      <c r="H64">
        <v>97</v>
      </c>
      <c r="I64">
        <v>88</v>
      </c>
      <c r="N64" t="s">
        <v>353</v>
      </c>
      <c r="Q64" t="s">
        <v>290</v>
      </c>
      <c r="R64" t="s">
        <v>293</v>
      </c>
    </row>
    <row r="65" spans="1:21" x14ac:dyDescent="0.2">
      <c r="A65" t="s">
        <v>366</v>
      </c>
      <c r="B65" t="str">
        <f t="shared" si="1"/>
        <v>97N 88E</v>
      </c>
      <c r="F65">
        <v>65</v>
      </c>
      <c r="G65" t="s">
        <v>296</v>
      </c>
      <c r="H65">
        <v>97</v>
      </c>
      <c r="I65">
        <v>88</v>
      </c>
      <c r="N65" t="s">
        <v>353</v>
      </c>
      <c r="Q65" t="s">
        <v>290</v>
      </c>
      <c r="R65" t="s">
        <v>293</v>
      </c>
    </row>
    <row r="66" spans="1:21" x14ac:dyDescent="0.2">
      <c r="A66" t="s">
        <v>366</v>
      </c>
      <c r="B66" t="str">
        <f t="shared" si="1"/>
        <v>97N 88E</v>
      </c>
      <c r="F66">
        <v>66</v>
      </c>
      <c r="G66" t="s">
        <v>296</v>
      </c>
      <c r="H66">
        <v>97</v>
      </c>
      <c r="I66">
        <v>88</v>
      </c>
      <c r="N66" t="s">
        <v>353</v>
      </c>
      <c r="P66">
        <v>2.17</v>
      </c>
      <c r="Q66" t="s">
        <v>290</v>
      </c>
    </row>
    <row r="67" spans="1:21" x14ac:dyDescent="0.2">
      <c r="A67" t="s">
        <v>366</v>
      </c>
      <c r="B67" t="str">
        <f t="shared" si="1"/>
        <v>97N 88E</v>
      </c>
      <c r="F67">
        <v>67</v>
      </c>
      <c r="G67" t="s">
        <v>59</v>
      </c>
      <c r="H67">
        <v>97</v>
      </c>
      <c r="I67">
        <v>88</v>
      </c>
      <c r="J67" t="s">
        <v>60</v>
      </c>
      <c r="K67" t="s">
        <v>60</v>
      </c>
      <c r="N67" t="s">
        <v>356</v>
      </c>
      <c r="P67">
        <v>2.3199999999999998</v>
      </c>
    </row>
    <row r="68" spans="1:21" x14ac:dyDescent="0.2">
      <c r="A68" t="s">
        <v>366</v>
      </c>
      <c r="B68" t="str">
        <f t="shared" si="1"/>
        <v>97N 88E</v>
      </c>
      <c r="F68">
        <v>68</v>
      </c>
      <c r="G68" t="s">
        <v>61</v>
      </c>
      <c r="H68">
        <v>97</v>
      </c>
      <c r="I68">
        <v>88</v>
      </c>
      <c r="J68" t="s">
        <v>43</v>
      </c>
      <c r="N68" t="s">
        <v>357</v>
      </c>
      <c r="P68">
        <v>2.0699999999999998</v>
      </c>
    </row>
    <row r="69" spans="1:21" x14ac:dyDescent="0.2">
      <c r="A69" t="s">
        <v>366</v>
      </c>
      <c r="B69" t="str">
        <f t="shared" si="1"/>
        <v>97N 88E</v>
      </c>
      <c r="F69">
        <v>69</v>
      </c>
      <c r="G69" t="s">
        <v>62</v>
      </c>
      <c r="H69">
        <v>97</v>
      </c>
      <c r="I69">
        <v>88</v>
      </c>
      <c r="J69" t="s">
        <v>63</v>
      </c>
      <c r="K69" t="s">
        <v>63</v>
      </c>
      <c r="N69" t="s">
        <v>353</v>
      </c>
      <c r="P69">
        <v>2.14</v>
      </c>
      <c r="S69" t="s">
        <v>371</v>
      </c>
      <c r="T69" t="s">
        <v>373</v>
      </c>
      <c r="U69" t="s">
        <v>375</v>
      </c>
    </row>
    <row r="70" spans="1:21" x14ac:dyDescent="0.2">
      <c r="A70" t="s">
        <v>366</v>
      </c>
      <c r="B70" t="str">
        <f t="shared" si="1"/>
        <v>97N 88E</v>
      </c>
      <c r="F70">
        <v>70</v>
      </c>
      <c r="G70" t="s">
        <v>64</v>
      </c>
      <c r="H70">
        <v>97</v>
      </c>
      <c r="I70">
        <v>88</v>
      </c>
      <c r="J70" t="s">
        <v>63</v>
      </c>
      <c r="K70" t="s">
        <v>63</v>
      </c>
      <c r="N70" t="s">
        <v>356</v>
      </c>
      <c r="P70">
        <v>2.25</v>
      </c>
      <c r="S70" t="s">
        <v>371</v>
      </c>
      <c r="U70" t="s">
        <v>371</v>
      </c>
    </row>
    <row r="71" spans="1:21" x14ac:dyDescent="0.2">
      <c r="A71" t="s">
        <v>366</v>
      </c>
      <c r="B71" t="str">
        <f t="shared" si="1"/>
        <v>97N 88E</v>
      </c>
      <c r="F71">
        <v>71</v>
      </c>
      <c r="G71" t="s">
        <v>65</v>
      </c>
      <c r="H71">
        <v>97</v>
      </c>
      <c r="I71">
        <v>88</v>
      </c>
      <c r="J71" t="s">
        <v>17</v>
      </c>
      <c r="K71" t="s">
        <v>17</v>
      </c>
      <c r="N71" t="s">
        <v>356</v>
      </c>
      <c r="P71">
        <v>2.25</v>
      </c>
    </row>
    <row r="72" spans="1:21" x14ac:dyDescent="0.2">
      <c r="A72" t="s">
        <v>366</v>
      </c>
      <c r="B72" t="str">
        <f t="shared" si="1"/>
        <v>97N 88E</v>
      </c>
      <c r="F72">
        <v>72</v>
      </c>
      <c r="G72" t="s">
        <v>66</v>
      </c>
      <c r="H72">
        <v>97</v>
      </c>
      <c r="I72">
        <v>88</v>
      </c>
      <c r="J72" t="s">
        <v>17</v>
      </c>
      <c r="K72" t="s">
        <v>17</v>
      </c>
      <c r="N72" t="s">
        <v>356</v>
      </c>
      <c r="P72">
        <v>2.2599999999999998</v>
      </c>
    </row>
    <row r="73" spans="1:21" x14ac:dyDescent="0.2">
      <c r="A73" t="s">
        <v>366</v>
      </c>
      <c r="B73" t="str">
        <f t="shared" si="1"/>
        <v>97N 88E</v>
      </c>
      <c r="F73">
        <v>73</v>
      </c>
      <c r="G73" t="s">
        <v>67</v>
      </c>
      <c r="H73">
        <v>97</v>
      </c>
      <c r="I73">
        <v>88</v>
      </c>
      <c r="J73" t="s">
        <v>17</v>
      </c>
      <c r="K73" t="s">
        <v>17</v>
      </c>
      <c r="N73" t="s">
        <v>358</v>
      </c>
      <c r="P73">
        <v>2.2599999999999998</v>
      </c>
    </row>
    <row r="74" spans="1:21" x14ac:dyDescent="0.2">
      <c r="A74" t="s">
        <v>366</v>
      </c>
      <c r="B74" t="str">
        <f t="shared" si="1"/>
        <v>97N 88E</v>
      </c>
      <c r="F74">
        <v>74</v>
      </c>
      <c r="G74" t="s">
        <v>21</v>
      </c>
      <c r="H74">
        <v>97</v>
      </c>
      <c r="I74">
        <v>88</v>
      </c>
      <c r="N74" t="s">
        <v>356</v>
      </c>
      <c r="P74">
        <v>2.2799999999999998</v>
      </c>
    </row>
    <row r="75" spans="1:21" x14ac:dyDescent="0.2">
      <c r="A75" t="s">
        <v>366</v>
      </c>
      <c r="B75" t="str">
        <f t="shared" si="1"/>
        <v>100N 82E</v>
      </c>
      <c r="F75">
        <v>75</v>
      </c>
      <c r="G75" t="s">
        <v>298</v>
      </c>
      <c r="H75">
        <v>100</v>
      </c>
      <c r="I75">
        <v>82</v>
      </c>
      <c r="N75" t="s">
        <v>353</v>
      </c>
      <c r="Q75" t="s">
        <v>290</v>
      </c>
      <c r="R75" t="s">
        <v>293</v>
      </c>
    </row>
    <row r="76" spans="1:21" x14ac:dyDescent="0.2">
      <c r="A76" t="s">
        <v>366</v>
      </c>
      <c r="B76" t="str">
        <f t="shared" si="1"/>
        <v>100N 82E</v>
      </c>
      <c r="F76">
        <v>76</v>
      </c>
      <c r="G76" t="s">
        <v>299</v>
      </c>
      <c r="H76">
        <v>100</v>
      </c>
      <c r="I76">
        <v>82</v>
      </c>
      <c r="N76" t="s">
        <v>353</v>
      </c>
      <c r="Q76" t="s">
        <v>290</v>
      </c>
      <c r="R76" t="s">
        <v>293</v>
      </c>
    </row>
    <row r="77" spans="1:21" x14ac:dyDescent="0.2">
      <c r="A77" t="s">
        <v>366</v>
      </c>
      <c r="B77" t="str">
        <f t="shared" si="1"/>
        <v>97N 88E</v>
      </c>
      <c r="F77">
        <v>77</v>
      </c>
      <c r="G77" t="s">
        <v>68</v>
      </c>
      <c r="H77">
        <v>97</v>
      </c>
      <c r="I77">
        <v>88</v>
      </c>
      <c r="N77" t="s">
        <v>358</v>
      </c>
      <c r="P77">
        <v>2.2599999999999998</v>
      </c>
    </row>
    <row r="78" spans="1:21" x14ac:dyDescent="0.2">
      <c r="A78" t="s">
        <v>366</v>
      </c>
      <c r="B78" t="str">
        <f t="shared" si="1"/>
        <v>97N 88E</v>
      </c>
      <c r="F78">
        <v>78</v>
      </c>
      <c r="G78" t="s">
        <v>41</v>
      </c>
      <c r="H78">
        <v>97</v>
      </c>
      <c r="I78">
        <v>88</v>
      </c>
      <c r="N78" t="s">
        <v>356</v>
      </c>
      <c r="P78">
        <v>2.25</v>
      </c>
    </row>
    <row r="79" spans="1:21" x14ac:dyDescent="0.2">
      <c r="A79" t="s">
        <v>366</v>
      </c>
      <c r="B79" t="str">
        <f t="shared" si="1"/>
        <v>100N 82E</v>
      </c>
      <c r="F79">
        <v>79</v>
      </c>
      <c r="G79" t="s">
        <v>69</v>
      </c>
      <c r="H79">
        <v>100</v>
      </c>
      <c r="I79">
        <v>82</v>
      </c>
      <c r="N79" t="s">
        <v>356</v>
      </c>
      <c r="P79">
        <v>2.31</v>
      </c>
    </row>
    <row r="80" spans="1:21" x14ac:dyDescent="0.2">
      <c r="A80" t="s">
        <v>366</v>
      </c>
      <c r="B80" t="str">
        <f t="shared" si="1"/>
        <v>100N 82E</v>
      </c>
      <c r="F80">
        <v>80</v>
      </c>
      <c r="G80" t="s">
        <v>70</v>
      </c>
      <c r="H80">
        <v>100</v>
      </c>
      <c r="I80">
        <v>82</v>
      </c>
      <c r="N80" t="s">
        <v>356</v>
      </c>
      <c r="P80">
        <v>2.31</v>
      </c>
    </row>
    <row r="81" spans="1:21" x14ac:dyDescent="0.2">
      <c r="A81" t="s">
        <v>366</v>
      </c>
      <c r="B81" t="str">
        <f t="shared" si="1"/>
        <v>97N 88E</v>
      </c>
      <c r="F81">
        <v>81</v>
      </c>
      <c r="G81" t="s">
        <v>71</v>
      </c>
      <c r="H81">
        <v>97</v>
      </c>
      <c r="I81">
        <v>88</v>
      </c>
      <c r="J81" t="s">
        <v>17</v>
      </c>
      <c r="K81" t="s">
        <v>17</v>
      </c>
      <c r="N81" t="s">
        <v>353</v>
      </c>
      <c r="P81">
        <v>2.2599999999999998</v>
      </c>
      <c r="T81" t="s">
        <v>373</v>
      </c>
      <c r="U81" t="s">
        <v>373</v>
      </c>
    </row>
    <row r="82" spans="1:21" x14ac:dyDescent="0.2">
      <c r="A82" t="s">
        <v>366</v>
      </c>
      <c r="B82" t="str">
        <f t="shared" si="1"/>
        <v>100N 82E</v>
      </c>
      <c r="F82">
        <v>82</v>
      </c>
      <c r="G82" t="s">
        <v>49</v>
      </c>
      <c r="H82">
        <v>100</v>
      </c>
      <c r="I82">
        <v>82</v>
      </c>
      <c r="J82" t="s">
        <v>17</v>
      </c>
      <c r="K82" t="s">
        <v>17</v>
      </c>
      <c r="N82" t="s">
        <v>353</v>
      </c>
      <c r="P82">
        <v>2.52</v>
      </c>
      <c r="T82" t="s">
        <v>373</v>
      </c>
      <c r="U82" t="s">
        <v>373</v>
      </c>
    </row>
    <row r="83" spans="1:21" x14ac:dyDescent="0.2">
      <c r="A83" t="s">
        <v>366</v>
      </c>
      <c r="B83" t="str">
        <f t="shared" si="1"/>
        <v>100N 82E</v>
      </c>
      <c r="F83">
        <v>83</v>
      </c>
      <c r="G83" t="s">
        <v>72</v>
      </c>
      <c r="H83">
        <v>100</v>
      </c>
      <c r="I83">
        <v>82</v>
      </c>
      <c r="J83" t="s">
        <v>29</v>
      </c>
      <c r="K83" t="s">
        <v>29</v>
      </c>
      <c r="N83" t="s">
        <v>353</v>
      </c>
      <c r="P83">
        <v>2.23</v>
      </c>
      <c r="T83" t="s">
        <v>373</v>
      </c>
      <c r="U83" t="s">
        <v>373</v>
      </c>
    </row>
    <row r="84" spans="1:21" x14ac:dyDescent="0.2">
      <c r="A84" t="s">
        <v>366</v>
      </c>
      <c r="B84" t="str">
        <f t="shared" si="1"/>
        <v>100N 82E</v>
      </c>
      <c r="F84">
        <v>84</v>
      </c>
      <c r="G84" t="s">
        <v>73</v>
      </c>
      <c r="H84">
        <v>100</v>
      </c>
      <c r="I84">
        <v>82</v>
      </c>
      <c r="J84" t="s">
        <v>17</v>
      </c>
      <c r="K84" t="s">
        <v>17</v>
      </c>
      <c r="N84" t="s">
        <v>356</v>
      </c>
      <c r="P84">
        <v>2.12</v>
      </c>
    </row>
    <row r="85" spans="1:21" x14ac:dyDescent="0.2">
      <c r="A85" t="s">
        <v>366</v>
      </c>
      <c r="B85" t="str">
        <f t="shared" si="1"/>
        <v>100N 82E</v>
      </c>
      <c r="F85">
        <v>85</v>
      </c>
      <c r="G85" t="s">
        <v>299</v>
      </c>
      <c r="H85">
        <v>100</v>
      </c>
      <c r="I85">
        <v>82</v>
      </c>
      <c r="N85" t="s">
        <v>353</v>
      </c>
      <c r="P85">
        <v>2.31</v>
      </c>
      <c r="Q85" t="s">
        <v>290</v>
      </c>
    </row>
    <row r="86" spans="1:21" x14ac:dyDescent="0.2">
      <c r="A86" t="s">
        <v>366</v>
      </c>
      <c r="B86" t="str">
        <f t="shared" si="1"/>
        <v>100N 82E</v>
      </c>
      <c r="F86">
        <v>86</v>
      </c>
      <c r="G86" t="s">
        <v>299</v>
      </c>
      <c r="H86">
        <v>100</v>
      </c>
      <c r="I86">
        <v>82</v>
      </c>
      <c r="N86" t="s">
        <v>353</v>
      </c>
      <c r="Q86" t="s">
        <v>290</v>
      </c>
    </row>
    <row r="87" spans="1:21" x14ac:dyDescent="0.2">
      <c r="A87" t="s">
        <v>366</v>
      </c>
      <c r="B87" t="str">
        <f t="shared" si="1"/>
        <v>100N 82E</v>
      </c>
      <c r="F87">
        <v>87</v>
      </c>
      <c r="G87" t="s">
        <v>299</v>
      </c>
      <c r="H87">
        <v>100</v>
      </c>
      <c r="I87">
        <v>82</v>
      </c>
      <c r="N87" t="s">
        <v>353</v>
      </c>
      <c r="Q87" t="s">
        <v>290</v>
      </c>
    </row>
    <row r="88" spans="1:21" x14ac:dyDescent="0.2">
      <c r="A88" t="s">
        <v>366</v>
      </c>
      <c r="B88" t="str">
        <f t="shared" si="1"/>
        <v>100N 82E</v>
      </c>
      <c r="F88">
        <v>88</v>
      </c>
      <c r="G88" t="s">
        <v>299</v>
      </c>
      <c r="H88">
        <v>100</v>
      </c>
      <c r="I88">
        <v>82</v>
      </c>
      <c r="N88" t="s">
        <v>353</v>
      </c>
      <c r="Q88" t="s">
        <v>290</v>
      </c>
    </row>
    <row r="89" spans="1:21" x14ac:dyDescent="0.2">
      <c r="A89" t="s">
        <v>366</v>
      </c>
      <c r="B89" t="str">
        <f t="shared" si="1"/>
        <v>100N 82E</v>
      </c>
      <c r="F89">
        <v>89</v>
      </c>
      <c r="G89" t="s">
        <v>74</v>
      </c>
      <c r="H89">
        <v>100</v>
      </c>
      <c r="I89">
        <v>82</v>
      </c>
      <c r="J89" t="s">
        <v>17</v>
      </c>
      <c r="K89" t="s">
        <v>17</v>
      </c>
      <c r="N89" t="s">
        <v>358</v>
      </c>
      <c r="P89">
        <v>2.21</v>
      </c>
    </row>
    <row r="90" spans="1:21" x14ac:dyDescent="0.2">
      <c r="A90" t="s">
        <v>366</v>
      </c>
      <c r="B90" t="str">
        <f t="shared" si="1"/>
        <v>97N 88E</v>
      </c>
      <c r="F90">
        <v>90</v>
      </c>
      <c r="G90" t="s">
        <v>75</v>
      </c>
      <c r="H90">
        <v>97</v>
      </c>
      <c r="I90">
        <v>88</v>
      </c>
      <c r="J90" t="s">
        <v>17</v>
      </c>
      <c r="K90" t="s">
        <v>17</v>
      </c>
      <c r="N90" t="s">
        <v>353</v>
      </c>
      <c r="P90">
        <v>2.25</v>
      </c>
      <c r="T90" t="s">
        <v>373</v>
      </c>
      <c r="U90" t="s">
        <v>373</v>
      </c>
    </row>
    <row r="91" spans="1:21" x14ac:dyDescent="0.2">
      <c r="A91" t="s">
        <v>366</v>
      </c>
      <c r="B91" t="str">
        <f t="shared" si="1"/>
        <v>97N 88E</v>
      </c>
      <c r="F91">
        <v>91</v>
      </c>
      <c r="G91" t="s">
        <v>48</v>
      </c>
      <c r="H91">
        <v>97</v>
      </c>
      <c r="I91">
        <v>88</v>
      </c>
      <c r="J91" t="s">
        <v>17</v>
      </c>
      <c r="K91" t="s">
        <v>17</v>
      </c>
      <c r="N91" t="s">
        <v>357</v>
      </c>
      <c r="P91">
        <v>2.2200000000000002</v>
      </c>
    </row>
    <row r="92" spans="1:21" x14ac:dyDescent="0.2">
      <c r="A92" t="s">
        <v>366</v>
      </c>
      <c r="B92" t="str">
        <f t="shared" si="1"/>
        <v>100N 82E</v>
      </c>
      <c r="F92">
        <v>92</v>
      </c>
      <c r="G92" t="s">
        <v>298</v>
      </c>
      <c r="H92">
        <v>100</v>
      </c>
      <c r="I92">
        <v>82</v>
      </c>
      <c r="N92" t="s">
        <v>353</v>
      </c>
      <c r="Q92" t="s">
        <v>290</v>
      </c>
    </row>
    <row r="93" spans="1:21" x14ac:dyDescent="0.2">
      <c r="A93" t="s">
        <v>366</v>
      </c>
      <c r="B93" t="str">
        <f t="shared" si="1"/>
        <v>100N 82E</v>
      </c>
      <c r="F93">
        <v>93</v>
      </c>
      <c r="G93" t="s">
        <v>76</v>
      </c>
      <c r="H93">
        <v>100</v>
      </c>
      <c r="I93">
        <v>82</v>
      </c>
      <c r="J93" t="s">
        <v>77</v>
      </c>
      <c r="N93" t="s">
        <v>357</v>
      </c>
      <c r="P93">
        <v>2.3199999999999998</v>
      </c>
    </row>
    <row r="94" spans="1:21" x14ac:dyDescent="0.2">
      <c r="A94" t="s">
        <v>366</v>
      </c>
      <c r="B94" t="str">
        <f t="shared" si="1"/>
        <v>97N 88E</v>
      </c>
      <c r="F94">
        <v>94</v>
      </c>
      <c r="G94" t="s">
        <v>78</v>
      </c>
      <c r="H94">
        <v>97</v>
      </c>
      <c r="I94">
        <v>88</v>
      </c>
      <c r="J94" t="s">
        <v>77</v>
      </c>
      <c r="N94" t="s">
        <v>356</v>
      </c>
    </row>
    <row r="95" spans="1:21" x14ac:dyDescent="0.2">
      <c r="A95" t="s">
        <v>366</v>
      </c>
      <c r="B95" t="str">
        <f t="shared" si="1"/>
        <v>97N 88E</v>
      </c>
      <c r="F95">
        <v>95</v>
      </c>
      <c r="G95" t="s">
        <v>33</v>
      </c>
      <c r="H95">
        <v>97</v>
      </c>
      <c r="I95">
        <v>88</v>
      </c>
      <c r="J95" t="s">
        <v>17</v>
      </c>
      <c r="K95" t="s">
        <v>17</v>
      </c>
      <c r="N95" t="s">
        <v>356</v>
      </c>
      <c r="P95">
        <v>2.33</v>
      </c>
    </row>
    <row r="96" spans="1:21" x14ac:dyDescent="0.2">
      <c r="A96" t="s">
        <v>366</v>
      </c>
      <c r="B96" t="str">
        <f t="shared" si="1"/>
        <v>97N 88E</v>
      </c>
      <c r="F96">
        <v>96</v>
      </c>
      <c r="G96" t="s">
        <v>58</v>
      </c>
      <c r="H96">
        <v>97</v>
      </c>
      <c r="I96">
        <v>88</v>
      </c>
      <c r="J96" t="s">
        <v>17</v>
      </c>
      <c r="K96" t="s">
        <v>17</v>
      </c>
      <c r="N96" t="s">
        <v>357</v>
      </c>
      <c r="P96">
        <v>2.25</v>
      </c>
    </row>
    <row r="97" spans="1:21" x14ac:dyDescent="0.2">
      <c r="A97" t="s">
        <v>366</v>
      </c>
      <c r="B97" t="str">
        <f t="shared" si="1"/>
        <v>97N 88E</v>
      </c>
      <c r="F97">
        <v>97</v>
      </c>
      <c r="G97" t="s">
        <v>79</v>
      </c>
      <c r="H97">
        <v>97</v>
      </c>
      <c r="I97">
        <v>88</v>
      </c>
      <c r="J97" t="s">
        <v>29</v>
      </c>
      <c r="K97" t="s">
        <v>29</v>
      </c>
      <c r="N97" t="s">
        <v>356</v>
      </c>
      <c r="P97">
        <v>2.33</v>
      </c>
    </row>
    <row r="98" spans="1:21" x14ac:dyDescent="0.2">
      <c r="A98" t="s">
        <v>366</v>
      </c>
      <c r="B98" t="str">
        <f t="shared" si="1"/>
        <v>97N 88E</v>
      </c>
      <c r="F98">
        <v>98</v>
      </c>
      <c r="G98" t="s">
        <v>52</v>
      </c>
      <c r="H98">
        <v>97</v>
      </c>
      <c r="I98">
        <v>88</v>
      </c>
      <c r="J98" t="s">
        <v>22</v>
      </c>
      <c r="N98" t="s">
        <v>356</v>
      </c>
      <c r="P98">
        <v>2.36</v>
      </c>
    </row>
    <row r="99" spans="1:21" x14ac:dyDescent="0.2">
      <c r="A99" t="s">
        <v>366</v>
      </c>
      <c r="B99" t="str">
        <f t="shared" si="1"/>
        <v>97N 88E</v>
      </c>
      <c r="F99">
        <v>99</v>
      </c>
      <c r="G99" t="s">
        <v>47</v>
      </c>
      <c r="H99">
        <v>97</v>
      </c>
      <c r="I99">
        <v>88</v>
      </c>
      <c r="J99" t="s">
        <v>17</v>
      </c>
      <c r="K99" t="s">
        <v>17</v>
      </c>
      <c r="N99" t="s">
        <v>356</v>
      </c>
      <c r="P99">
        <v>2.36</v>
      </c>
    </row>
    <row r="100" spans="1:21" x14ac:dyDescent="0.2">
      <c r="A100" t="s">
        <v>366</v>
      </c>
      <c r="B100" t="str">
        <f t="shared" si="1"/>
        <v>97N 88E</v>
      </c>
      <c r="F100">
        <v>100</v>
      </c>
      <c r="G100" t="s">
        <v>80</v>
      </c>
      <c r="H100">
        <v>97</v>
      </c>
      <c r="I100">
        <v>88</v>
      </c>
      <c r="J100" t="s">
        <v>63</v>
      </c>
      <c r="K100" t="s">
        <v>63</v>
      </c>
      <c r="N100" t="s">
        <v>358</v>
      </c>
      <c r="P100">
        <v>2.34</v>
      </c>
      <c r="S100" t="s">
        <v>371</v>
      </c>
      <c r="U100" t="s">
        <v>371</v>
      </c>
    </row>
    <row r="101" spans="1:21" x14ac:dyDescent="0.2">
      <c r="A101" t="s">
        <v>366</v>
      </c>
      <c r="B101" t="str">
        <f t="shared" si="1"/>
        <v>97N 88E</v>
      </c>
      <c r="F101">
        <v>101</v>
      </c>
      <c r="G101" t="s">
        <v>81</v>
      </c>
      <c r="H101">
        <v>97</v>
      </c>
      <c r="I101">
        <v>88</v>
      </c>
      <c r="J101" t="s">
        <v>29</v>
      </c>
      <c r="K101" t="s">
        <v>29</v>
      </c>
      <c r="N101" t="s">
        <v>353</v>
      </c>
      <c r="P101">
        <v>2.34</v>
      </c>
      <c r="T101" t="s">
        <v>373</v>
      </c>
      <c r="U101" t="s">
        <v>373</v>
      </c>
    </row>
    <row r="102" spans="1:21" x14ac:dyDescent="0.2">
      <c r="A102" t="s">
        <v>366</v>
      </c>
      <c r="B102" t="str">
        <f t="shared" si="1"/>
        <v>97N 88E</v>
      </c>
      <c r="F102">
        <v>102</v>
      </c>
      <c r="G102" t="s">
        <v>82</v>
      </c>
      <c r="H102">
        <v>97</v>
      </c>
      <c r="I102">
        <v>88</v>
      </c>
      <c r="J102" t="s">
        <v>83</v>
      </c>
      <c r="N102" t="s">
        <v>357</v>
      </c>
      <c r="P102">
        <v>2.34</v>
      </c>
      <c r="S102" t="s">
        <v>371</v>
      </c>
      <c r="U102" t="s">
        <v>371</v>
      </c>
    </row>
    <row r="103" spans="1:21" x14ac:dyDescent="0.2">
      <c r="A103" t="s">
        <v>366</v>
      </c>
      <c r="B103" t="str">
        <f t="shared" si="1"/>
        <v>97N 67E</v>
      </c>
      <c r="F103">
        <v>103</v>
      </c>
      <c r="G103" t="s">
        <v>84</v>
      </c>
      <c r="H103">
        <v>97</v>
      </c>
      <c r="I103">
        <v>67</v>
      </c>
      <c r="N103" t="s">
        <v>357</v>
      </c>
    </row>
    <row r="104" spans="1:21" x14ac:dyDescent="0.2">
      <c r="A104" t="s">
        <v>366</v>
      </c>
      <c r="B104" t="str">
        <f t="shared" si="1"/>
        <v>97N 67E</v>
      </c>
      <c r="F104">
        <v>104</v>
      </c>
      <c r="G104" t="s">
        <v>59</v>
      </c>
      <c r="H104">
        <v>97</v>
      </c>
      <c r="I104">
        <v>67</v>
      </c>
      <c r="J104" t="s">
        <v>17</v>
      </c>
      <c r="K104" t="s">
        <v>17</v>
      </c>
      <c r="N104" t="s">
        <v>356</v>
      </c>
      <c r="P104">
        <v>1.43</v>
      </c>
    </row>
    <row r="105" spans="1:21" x14ac:dyDescent="0.2">
      <c r="A105" t="s">
        <v>366</v>
      </c>
      <c r="B105" t="str">
        <f t="shared" si="1"/>
        <v>97N 67E</v>
      </c>
      <c r="F105">
        <v>105</v>
      </c>
      <c r="G105" t="s">
        <v>85</v>
      </c>
      <c r="H105">
        <v>97</v>
      </c>
      <c r="I105">
        <v>67</v>
      </c>
      <c r="J105" t="s">
        <v>63</v>
      </c>
      <c r="K105" t="s">
        <v>63</v>
      </c>
      <c r="N105" t="s">
        <v>356</v>
      </c>
      <c r="P105">
        <v>1.43</v>
      </c>
    </row>
    <row r="106" spans="1:21" x14ac:dyDescent="0.2">
      <c r="A106" t="s">
        <v>366</v>
      </c>
      <c r="B106" t="str">
        <f t="shared" si="1"/>
        <v>97N 67E</v>
      </c>
      <c r="F106">
        <v>106</v>
      </c>
      <c r="G106" t="s">
        <v>73</v>
      </c>
      <c r="H106">
        <v>97</v>
      </c>
      <c r="I106">
        <v>67</v>
      </c>
      <c r="J106" t="s">
        <v>17</v>
      </c>
      <c r="K106" t="s">
        <v>17</v>
      </c>
      <c r="N106" t="s">
        <v>356</v>
      </c>
      <c r="P106">
        <v>1.45</v>
      </c>
    </row>
    <row r="107" spans="1:21" x14ac:dyDescent="0.2">
      <c r="A107" t="s">
        <v>366</v>
      </c>
      <c r="B107" t="str">
        <f t="shared" si="1"/>
        <v>97N 67E</v>
      </c>
      <c r="F107">
        <v>107</v>
      </c>
      <c r="G107" t="s">
        <v>86</v>
      </c>
      <c r="H107">
        <v>97</v>
      </c>
      <c r="I107">
        <v>67</v>
      </c>
      <c r="J107" t="s">
        <v>17</v>
      </c>
      <c r="K107" t="s">
        <v>17</v>
      </c>
      <c r="N107" t="s">
        <v>358</v>
      </c>
      <c r="P107">
        <v>1.44</v>
      </c>
    </row>
    <row r="108" spans="1:21" x14ac:dyDescent="0.2">
      <c r="A108" t="s">
        <v>366</v>
      </c>
      <c r="B108" t="str">
        <f t="shared" si="1"/>
        <v>97N 67E</v>
      </c>
      <c r="F108">
        <v>108</v>
      </c>
      <c r="G108" t="s">
        <v>65</v>
      </c>
      <c r="H108">
        <v>97</v>
      </c>
      <c r="I108">
        <v>67</v>
      </c>
      <c r="J108" t="s">
        <v>17</v>
      </c>
      <c r="K108" t="s">
        <v>17</v>
      </c>
      <c r="N108" t="s">
        <v>356</v>
      </c>
      <c r="P108">
        <v>1.41</v>
      </c>
    </row>
    <row r="109" spans="1:21" x14ac:dyDescent="0.2">
      <c r="A109" t="s">
        <v>366</v>
      </c>
      <c r="B109" t="str">
        <f t="shared" si="1"/>
        <v>97N 67E</v>
      </c>
      <c r="F109">
        <v>109</v>
      </c>
      <c r="G109" t="s">
        <v>87</v>
      </c>
      <c r="H109">
        <v>97</v>
      </c>
      <c r="I109">
        <v>67</v>
      </c>
      <c r="N109" t="s">
        <v>356</v>
      </c>
      <c r="P109">
        <v>1.44</v>
      </c>
    </row>
    <row r="110" spans="1:21" x14ac:dyDescent="0.2">
      <c r="A110" t="s">
        <v>366</v>
      </c>
      <c r="B110" t="str">
        <f t="shared" si="1"/>
        <v>97N 88E</v>
      </c>
      <c r="F110">
        <v>110</v>
      </c>
      <c r="G110" t="s">
        <v>88</v>
      </c>
      <c r="H110">
        <v>97</v>
      </c>
      <c r="I110">
        <v>88</v>
      </c>
      <c r="J110" t="s">
        <v>29</v>
      </c>
      <c r="K110" t="s">
        <v>29</v>
      </c>
      <c r="N110" t="s">
        <v>357</v>
      </c>
      <c r="P110">
        <v>2.46</v>
      </c>
    </row>
    <row r="111" spans="1:21" x14ac:dyDescent="0.2">
      <c r="A111" t="s">
        <v>366</v>
      </c>
      <c r="B111" t="str">
        <f t="shared" ref="B111:B114" si="2">_xlfn.CONCAT(H111, "N ", I111, "E")</f>
        <v>97N 88E</v>
      </c>
      <c r="F111">
        <v>111</v>
      </c>
      <c r="G111" t="s">
        <v>36</v>
      </c>
      <c r="H111">
        <v>97</v>
      </c>
      <c r="I111">
        <v>88</v>
      </c>
      <c r="J111" t="s">
        <v>29</v>
      </c>
      <c r="K111" t="s">
        <v>29</v>
      </c>
      <c r="N111" t="s">
        <v>356</v>
      </c>
      <c r="P111">
        <v>2.35</v>
      </c>
    </row>
    <row r="112" spans="1:21" x14ac:dyDescent="0.2">
      <c r="A112" t="s">
        <v>366</v>
      </c>
      <c r="B112" t="str">
        <f t="shared" si="2"/>
        <v>97N 88E</v>
      </c>
      <c r="F112">
        <v>112</v>
      </c>
      <c r="G112" t="s">
        <v>40</v>
      </c>
      <c r="H112">
        <v>97</v>
      </c>
      <c r="I112">
        <v>88</v>
      </c>
      <c r="J112" t="s">
        <v>83</v>
      </c>
      <c r="N112" t="s">
        <v>356</v>
      </c>
      <c r="P112">
        <v>2.4</v>
      </c>
    </row>
    <row r="113" spans="1:21" x14ac:dyDescent="0.2">
      <c r="A113" t="s">
        <v>366</v>
      </c>
      <c r="B113" t="str">
        <f t="shared" si="2"/>
        <v>97N 88E</v>
      </c>
      <c r="F113">
        <v>113</v>
      </c>
      <c r="G113" t="s">
        <v>89</v>
      </c>
      <c r="H113">
        <v>97</v>
      </c>
      <c r="I113">
        <v>88</v>
      </c>
      <c r="J113" t="s">
        <v>90</v>
      </c>
      <c r="N113" t="s">
        <v>356</v>
      </c>
      <c r="P113">
        <v>2.44</v>
      </c>
    </row>
    <row r="114" spans="1:21" x14ac:dyDescent="0.2">
      <c r="A114" t="s">
        <v>366</v>
      </c>
      <c r="B114" t="str">
        <f t="shared" si="2"/>
        <v>97N 88E</v>
      </c>
      <c r="F114">
        <v>114</v>
      </c>
      <c r="G114" t="s">
        <v>53</v>
      </c>
      <c r="H114">
        <v>97</v>
      </c>
      <c r="I114">
        <v>88</v>
      </c>
      <c r="J114" t="s">
        <v>90</v>
      </c>
      <c r="N114" t="s">
        <v>356</v>
      </c>
      <c r="P114">
        <v>2.54</v>
      </c>
    </row>
    <row r="115" spans="1:21" x14ac:dyDescent="0.2">
      <c r="A115" t="s">
        <v>366</v>
      </c>
      <c r="F115">
        <v>115</v>
      </c>
      <c r="Q115" t="s">
        <v>290</v>
      </c>
    </row>
    <row r="116" spans="1:21" x14ac:dyDescent="0.2">
      <c r="A116" t="s">
        <v>366</v>
      </c>
      <c r="B116" t="str">
        <f t="shared" ref="B116:B179" si="3">_xlfn.CONCAT(H116, "N ", I116, "E")</f>
        <v>97N 88E</v>
      </c>
      <c r="F116">
        <v>116</v>
      </c>
      <c r="G116" t="s">
        <v>91</v>
      </c>
      <c r="H116">
        <v>97</v>
      </c>
      <c r="I116">
        <v>88</v>
      </c>
      <c r="J116" t="s">
        <v>29</v>
      </c>
      <c r="K116" t="s">
        <v>29</v>
      </c>
      <c r="N116" t="s">
        <v>353</v>
      </c>
      <c r="P116">
        <v>2.58</v>
      </c>
      <c r="T116" t="s">
        <v>373</v>
      </c>
      <c r="U116" t="s">
        <v>373</v>
      </c>
    </row>
    <row r="117" spans="1:21" x14ac:dyDescent="0.2">
      <c r="A117" t="s">
        <v>366</v>
      </c>
      <c r="B117" t="str">
        <f t="shared" si="3"/>
        <v>97N 88E</v>
      </c>
      <c r="F117">
        <v>117</v>
      </c>
      <c r="G117" t="s">
        <v>92</v>
      </c>
      <c r="H117">
        <v>97</v>
      </c>
      <c r="I117">
        <v>88</v>
      </c>
      <c r="J117" t="s">
        <v>17</v>
      </c>
      <c r="K117" t="s">
        <v>17</v>
      </c>
      <c r="N117" t="s">
        <v>356</v>
      </c>
      <c r="P117">
        <v>2.33</v>
      </c>
    </row>
    <row r="118" spans="1:21" x14ac:dyDescent="0.2">
      <c r="A118" t="s">
        <v>366</v>
      </c>
      <c r="B118" t="str">
        <f t="shared" si="3"/>
        <v>97N 88E</v>
      </c>
      <c r="F118">
        <v>118</v>
      </c>
      <c r="G118" t="s">
        <v>93</v>
      </c>
      <c r="H118">
        <v>97</v>
      </c>
      <c r="I118">
        <v>88</v>
      </c>
      <c r="J118" t="s">
        <v>29</v>
      </c>
      <c r="K118" t="s">
        <v>29</v>
      </c>
      <c r="N118" t="s">
        <v>353</v>
      </c>
      <c r="P118">
        <v>2.54</v>
      </c>
      <c r="T118" t="s">
        <v>373</v>
      </c>
      <c r="U118" t="s">
        <v>373</v>
      </c>
    </row>
    <row r="119" spans="1:21" x14ac:dyDescent="0.2">
      <c r="A119" t="s">
        <v>366</v>
      </c>
      <c r="B119" t="str">
        <f t="shared" si="3"/>
        <v>97N 88E</v>
      </c>
      <c r="F119">
        <v>119</v>
      </c>
      <c r="G119" t="s">
        <v>94</v>
      </c>
      <c r="H119">
        <v>97</v>
      </c>
      <c r="I119">
        <v>88</v>
      </c>
      <c r="J119" t="s">
        <v>29</v>
      </c>
      <c r="K119" t="s">
        <v>29</v>
      </c>
      <c r="N119" t="s">
        <v>356</v>
      </c>
      <c r="P119">
        <v>2.54</v>
      </c>
    </row>
    <row r="120" spans="1:21" x14ac:dyDescent="0.2">
      <c r="A120" t="s">
        <v>366</v>
      </c>
      <c r="B120" t="str">
        <f t="shared" si="3"/>
        <v>97N 88E</v>
      </c>
      <c r="F120">
        <v>120</v>
      </c>
      <c r="G120" t="s">
        <v>95</v>
      </c>
      <c r="H120">
        <v>97</v>
      </c>
      <c r="I120">
        <v>88</v>
      </c>
      <c r="J120" t="s">
        <v>29</v>
      </c>
      <c r="K120" t="s">
        <v>29</v>
      </c>
      <c r="N120" t="s">
        <v>353</v>
      </c>
      <c r="P120">
        <v>2.54</v>
      </c>
      <c r="T120" t="s">
        <v>373</v>
      </c>
      <c r="U120" t="s">
        <v>373</v>
      </c>
    </row>
    <row r="121" spans="1:21" x14ac:dyDescent="0.2">
      <c r="A121" t="s">
        <v>366</v>
      </c>
      <c r="B121" t="str">
        <f t="shared" si="3"/>
        <v>97N 88E</v>
      </c>
      <c r="F121">
        <v>121</v>
      </c>
      <c r="G121" t="s">
        <v>95</v>
      </c>
      <c r="H121">
        <v>97</v>
      </c>
      <c r="I121">
        <v>88</v>
      </c>
      <c r="N121" t="s">
        <v>353</v>
      </c>
      <c r="Q121" t="s">
        <v>290</v>
      </c>
      <c r="R121" t="s">
        <v>293</v>
      </c>
    </row>
    <row r="122" spans="1:21" x14ac:dyDescent="0.2">
      <c r="A122" t="s">
        <v>366</v>
      </c>
      <c r="B122" t="str">
        <f t="shared" si="3"/>
        <v>97N 88E</v>
      </c>
      <c r="F122">
        <v>122</v>
      </c>
      <c r="G122" t="s">
        <v>96</v>
      </c>
      <c r="H122">
        <v>97</v>
      </c>
      <c r="I122">
        <v>88</v>
      </c>
      <c r="J122" t="s">
        <v>29</v>
      </c>
      <c r="K122" t="s">
        <v>29</v>
      </c>
      <c r="N122" t="s">
        <v>353</v>
      </c>
      <c r="P122">
        <v>2.8</v>
      </c>
      <c r="T122" t="s">
        <v>373</v>
      </c>
      <c r="U122" t="s">
        <v>373</v>
      </c>
    </row>
    <row r="123" spans="1:21" x14ac:dyDescent="0.2">
      <c r="A123" t="s">
        <v>366</v>
      </c>
      <c r="B123" t="str">
        <f t="shared" si="3"/>
        <v>97N 88E</v>
      </c>
      <c r="F123">
        <v>123</v>
      </c>
      <c r="G123" t="s">
        <v>96</v>
      </c>
      <c r="H123">
        <v>97</v>
      </c>
      <c r="I123">
        <v>88</v>
      </c>
      <c r="N123" t="s">
        <v>353</v>
      </c>
      <c r="Q123" t="s">
        <v>290</v>
      </c>
      <c r="R123" t="s">
        <v>293</v>
      </c>
    </row>
    <row r="124" spans="1:21" x14ac:dyDescent="0.2">
      <c r="A124" t="s">
        <v>366</v>
      </c>
      <c r="B124" t="str">
        <f t="shared" si="3"/>
        <v>97N 88E</v>
      </c>
      <c r="F124">
        <v>124</v>
      </c>
      <c r="G124" t="s">
        <v>97</v>
      </c>
      <c r="H124">
        <v>97</v>
      </c>
      <c r="I124">
        <v>88</v>
      </c>
      <c r="J124" t="s">
        <v>29</v>
      </c>
      <c r="K124" t="s">
        <v>29</v>
      </c>
      <c r="N124" t="s">
        <v>353</v>
      </c>
      <c r="P124">
        <v>2.69</v>
      </c>
      <c r="T124" t="s">
        <v>373</v>
      </c>
      <c r="U124" t="s">
        <v>373</v>
      </c>
    </row>
    <row r="125" spans="1:21" x14ac:dyDescent="0.2">
      <c r="A125" t="s">
        <v>366</v>
      </c>
      <c r="B125" t="str">
        <f t="shared" si="3"/>
        <v>97N 88E</v>
      </c>
      <c r="F125">
        <v>125</v>
      </c>
      <c r="G125" t="s">
        <v>97</v>
      </c>
      <c r="H125">
        <v>97</v>
      </c>
      <c r="I125">
        <v>88</v>
      </c>
      <c r="N125" t="s">
        <v>353</v>
      </c>
      <c r="Q125" t="s">
        <v>290</v>
      </c>
    </row>
    <row r="126" spans="1:21" x14ac:dyDescent="0.2">
      <c r="A126" t="s">
        <v>366</v>
      </c>
      <c r="B126" t="str">
        <f t="shared" si="3"/>
        <v>97N 88E</v>
      </c>
      <c r="F126">
        <v>126</v>
      </c>
      <c r="G126" t="s">
        <v>98</v>
      </c>
      <c r="H126">
        <v>97</v>
      </c>
      <c r="I126">
        <v>88</v>
      </c>
      <c r="J126" t="s">
        <v>29</v>
      </c>
      <c r="K126" t="s">
        <v>29</v>
      </c>
      <c r="N126" t="s">
        <v>353</v>
      </c>
      <c r="T126" t="s">
        <v>373</v>
      </c>
      <c r="U126" t="s">
        <v>373</v>
      </c>
    </row>
    <row r="127" spans="1:21" x14ac:dyDescent="0.2">
      <c r="A127" t="s">
        <v>366</v>
      </c>
      <c r="B127" t="str">
        <f t="shared" si="3"/>
        <v>97N 88E</v>
      </c>
      <c r="F127">
        <v>127</v>
      </c>
      <c r="G127" t="s">
        <v>99</v>
      </c>
      <c r="H127">
        <v>97</v>
      </c>
      <c r="I127">
        <v>88</v>
      </c>
      <c r="J127" t="s">
        <v>29</v>
      </c>
      <c r="K127" t="s">
        <v>29</v>
      </c>
      <c r="N127" t="s">
        <v>353</v>
      </c>
      <c r="P127">
        <v>2.87</v>
      </c>
      <c r="T127" t="s">
        <v>373</v>
      </c>
      <c r="U127" t="s">
        <v>373</v>
      </c>
    </row>
    <row r="128" spans="1:21" x14ac:dyDescent="0.2">
      <c r="A128" t="s">
        <v>366</v>
      </c>
      <c r="B128" t="str">
        <f t="shared" si="3"/>
        <v>97N 88E</v>
      </c>
      <c r="F128">
        <v>128</v>
      </c>
      <c r="G128" t="s">
        <v>100</v>
      </c>
      <c r="H128">
        <v>97</v>
      </c>
      <c r="I128">
        <v>88</v>
      </c>
      <c r="J128" t="s">
        <v>29</v>
      </c>
      <c r="K128" t="s">
        <v>29</v>
      </c>
      <c r="N128" t="s">
        <v>353</v>
      </c>
      <c r="P128">
        <v>2.88</v>
      </c>
      <c r="T128" t="s">
        <v>373</v>
      </c>
      <c r="U128" t="s">
        <v>373</v>
      </c>
    </row>
    <row r="129" spans="1:21" x14ac:dyDescent="0.2">
      <c r="A129" t="s">
        <v>366</v>
      </c>
      <c r="B129" t="str">
        <f t="shared" si="3"/>
        <v>97N 88E</v>
      </c>
      <c r="F129">
        <v>129</v>
      </c>
      <c r="G129" t="s">
        <v>101</v>
      </c>
      <c r="H129">
        <v>97</v>
      </c>
      <c r="I129">
        <v>88</v>
      </c>
      <c r="N129" t="s">
        <v>353</v>
      </c>
      <c r="Q129" t="s">
        <v>290</v>
      </c>
      <c r="R129" t="s">
        <v>293</v>
      </c>
    </row>
    <row r="130" spans="1:21" x14ac:dyDescent="0.2">
      <c r="A130" t="s">
        <v>366</v>
      </c>
      <c r="B130" t="str">
        <f t="shared" si="3"/>
        <v>97N 88E</v>
      </c>
      <c r="F130">
        <v>130</v>
      </c>
      <c r="G130" t="s">
        <v>101</v>
      </c>
      <c r="H130">
        <v>97</v>
      </c>
      <c r="I130">
        <v>88</v>
      </c>
      <c r="J130" t="s">
        <v>29</v>
      </c>
      <c r="K130" t="s">
        <v>29</v>
      </c>
      <c r="N130" t="s">
        <v>353</v>
      </c>
      <c r="P130">
        <v>2.97</v>
      </c>
      <c r="T130" t="s">
        <v>373</v>
      </c>
      <c r="U130" t="s">
        <v>373</v>
      </c>
    </row>
    <row r="131" spans="1:21" x14ac:dyDescent="0.2">
      <c r="A131" t="s">
        <v>366</v>
      </c>
      <c r="B131" t="str">
        <f t="shared" si="3"/>
        <v>97N 88E</v>
      </c>
      <c r="F131">
        <v>131</v>
      </c>
      <c r="G131" t="s">
        <v>102</v>
      </c>
      <c r="H131">
        <v>97</v>
      </c>
      <c r="I131">
        <v>88</v>
      </c>
      <c r="J131" t="s">
        <v>29</v>
      </c>
      <c r="K131" t="s">
        <v>29</v>
      </c>
      <c r="N131" t="s">
        <v>358</v>
      </c>
      <c r="P131">
        <v>2.98</v>
      </c>
    </row>
    <row r="132" spans="1:21" x14ac:dyDescent="0.2">
      <c r="A132" t="s">
        <v>366</v>
      </c>
      <c r="B132" t="str">
        <f t="shared" si="3"/>
        <v>97N 88E</v>
      </c>
      <c r="F132">
        <v>132</v>
      </c>
      <c r="G132" t="s">
        <v>99</v>
      </c>
      <c r="H132">
        <v>97</v>
      </c>
      <c r="I132">
        <v>88</v>
      </c>
      <c r="N132" t="s">
        <v>353</v>
      </c>
      <c r="Q132" t="s">
        <v>290</v>
      </c>
      <c r="R132" t="s">
        <v>293</v>
      </c>
    </row>
    <row r="133" spans="1:21" x14ac:dyDescent="0.2">
      <c r="A133" t="s">
        <v>366</v>
      </c>
      <c r="B133" t="str">
        <f t="shared" si="3"/>
        <v>97N 88E</v>
      </c>
      <c r="F133">
        <v>133</v>
      </c>
      <c r="G133" t="s">
        <v>103</v>
      </c>
      <c r="H133">
        <v>97</v>
      </c>
      <c r="I133">
        <v>88</v>
      </c>
      <c r="J133" t="s">
        <v>29</v>
      </c>
      <c r="K133" t="s">
        <v>29</v>
      </c>
      <c r="N133" t="s">
        <v>353</v>
      </c>
      <c r="P133">
        <v>3.07</v>
      </c>
      <c r="T133" t="s">
        <v>373</v>
      </c>
      <c r="U133" t="s">
        <v>373</v>
      </c>
    </row>
    <row r="134" spans="1:21" x14ac:dyDescent="0.2">
      <c r="A134" t="s">
        <v>366</v>
      </c>
      <c r="B134" t="str">
        <f t="shared" si="3"/>
        <v>97N 88E</v>
      </c>
      <c r="F134">
        <v>134</v>
      </c>
      <c r="G134" t="s">
        <v>104</v>
      </c>
      <c r="H134">
        <v>97</v>
      </c>
      <c r="I134">
        <v>88</v>
      </c>
      <c r="J134" t="s">
        <v>29</v>
      </c>
      <c r="K134" t="s">
        <v>29</v>
      </c>
      <c r="N134" t="s">
        <v>358</v>
      </c>
      <c r="P134">
        <v>3.07</v>
      </c>
    </row>
    <row r="135" spans="1:21" x14ac:dyDescent="0.2">
      <c r="A135" t="s">
        <v>366</v>
      </c>
      <c r="B135" t="str">
        <f t="shared" si="3"/>
        <v>97N 88E</v>
      </c>
      <c r="F135">
        <v>135</v>
      </c>
      <c r="G135" t="s">
        <v>107</v>
      </c>
      <c r="H135">
        <v>97</v>
      </c>
      <c r="I135">
        <v>88</v>
      </c>
      <c r="N135" t="s">
        <v>353</v>
      </c>
      <c r="Q135" t="s">
        <v>290</v>
      </c>
      <c r="R135" t="s">
        <v>293</v>
      </c>
    </row>
    <row r="136" spans="1:21" x14ac:dyDescent="0.2">
      <c r="A136" t="s">
        <v>366</v>
      </c>
      <c r="B136" t="str">
        <f t="shared" si="3"/>
        <v>97N 88E</v>
      </c>
      <c r="F136">
        <v>136</v>
      </c>
      <c r="G136" t="s">
        <v>105</v>
      </c>
      <c r="H136">
        <v>97</v>
      </c>
      <c r="I136">
        <v>88</v>
      </c>
      <c r="J136" t="s">
        <v>29</v>
      </c>
      <c r="K136" t="s">
        <v>29</v>
      </c>
      <c r="N136" t="s">
        <v>353</v>
      </c>
      <c r="P136">
        <v>3.17</v>
      </c>
      <c r="T136" t="s">
        <v>373</v>
      </c>
      <c r="U136" t="s">
        <v>373</v>
      </c>
    </row>
    <row r="137" spans="1:21" x14ac:dyDescent="0.2">
      <c r="A137" t="s">
        <v>366</v>
      </c>
      <c r="B137" t="str">
        <f t="shared" si="3"/>
        <v>97N 88E</v>
      </c>
      <c r="F137">
        <v>137</v>
      </c>
      <c r="G137" t="s">
        <v>106</v>
      </c>
      <c r="H137">
        <v>97</v>
      </c>
      <c r="I137">
        <v>88</v>
      </c>
      <c r="J137" t="s">
        <v>29</v>
      </c>
      <c r="K137" t="s">
        <v>29</v>
      </c>
      <c r="N137" t="s">
        <v>358</v>
      </c>
      <c r="P137">
        <v>3.17</v>
      </c>
    </row>
    <row r="138" spans="1:21" x14ac:dyDescent="0.2">
      <c r="A138" t="s">
        <v>366</v>
      </c>
      <c r="B138" t="str">
        <f t="shared" si="3"/>
        <v>97N 88E</v>
      </c>
      <c r="F138">
        <v>138</v>
      </c>
      <c r="G138" t="s">
        <v>107</v>
      </c>
      <c r="H138">
        <v>97</v>
      </c>
      <c r="I138">
        <v>88</v>
      </c>
      <c r="J138" t="s">
        <v>29</v>
      </c>
      <c r="K138" t="s">
        <v>29</v>
      </c>
      <c r="N138" t="s">
        <v>353</v>
      </c>
      <c r="P138">
        <v>3.27</v>
      </c>
    </row>
    <row r="139" spans="1:21" x14ac:dyDescent="0.2">
      <c r="A139" t="s">
        <v>366</v>
      </c>
      <c r="B139" t="str">
        <f t="shared" si="3"/>
        <v>97N 88E</v>
      </c>
      <c r="F139">
        <v>139</v>
      </c>
      <c r="G139" t="s">
        <v>107</v>
      </c>
      <c r="H139">
        <v>97</v>
      </c>
      <c r="I139">
        <v>88</v>
      </c>
      <c r="J139" t="s">
        <v>29</v>
      </c>
      <c r="K139" t="s">
        <v>29</v>
      </c>
      <c r="N139" t="s">
        <v>353</v>
      </c>
      <c r="P139">
        <v>3.27</v>
      </c>
      <c r="T139" t="s">
        <v>373</v>
      </c>
      <c r="U139" t="s">
        <v>373</v>
      </c>
    </row>
    <row r="140" spans="1:21" x14ac:dyDescent="0.2">
      <c r="A140" t="s">
        <v>366</v>
      </c>
      <c r="B140" t="str">
        <f t="shared" si="3"/>
        <v>97N 88E</v>
      </c>
      <c r="F140">
        <v>140</v>
      </c>
      <c r="G140" t="s">
        <v>108</v>
      </c>
      <c r="H140">
        <v>97</v>
      </c>
      <c r="I140">
        <v>88</v>
      </c>
      <c r="J140" t="s">
        <v>29</v>
      </c>
      <c r="K140" t="s">
        <v>29</v>
      </c>
      <c r="N140" t="s">
        <v>358</v>
      </c>
      <c r="P140">
        <v>3.27</v>
      </c>
    </row>
    <row r="141" spans="1:21" x14ac:dyDescent="0.2">
      <c r="A141" t="s">
        <v>366</v>
      </c>
      <c r="B141" t="str">
        <f t="shared" si="3"/>
        <v>97N 88E</v>
      </c>
      <c r="F141">
        <v>141</v>
      </c>
      <c r="G141" t="s">
        <v>300</v>
      </c>
      <c r="H141">
        <v>97</v>
      </c>
      <c r="I141">
        <v>88</v>
      </c>
      <c r="N141" t="s">
        <v>353</v>
      </c>
      <c r="Q141" t="s">
        <v>290</v>
      </c>
      <c r="R141" t="s">
        <v>293</v>
      </c>
    </row>
    <row r="142" spans="1:21" x14ac:dyDescent="0.2">
      <c r="A142" t="s">
        <v>366</v>
      </c>
      <c r="B142" t="str">
        <f t="shared" si="3"/>
        <v>97N 88E</v>
      </c>
      <c r="F142">
        <v>142</v>
      </c>
      <c r="G142" t="s">
        <v>109</v>
      </c>
      <c r="H142">
        <v>97</v>
      </c>
      <c r="I142">
        <v>88</v>
      </c>
      <c r="J142" t="s">
        <v>29</v>
      </c>
      <c r="K142" t="s">
        <v>29</v>
      </c>
      <c r="N142" t="s">
        <v>353</v>
      </c>
      <c r="P142">
        <v>3.37</v>
      </c>
      <c r="T142" t="s">
        <v>373</v>
      </c>
      <c r="U142" t="s">
        <v>373</v>
      </c>
    </row>
    <row r="143" spans="1:21" x14ac:dyDescent="0.2">
      <c r="A143" t="s">
        <v>366</v>
      </c>
      <c r="B143" t="str">
        <f t="shared" si="3"/>
        <v>97N 88E</v>
      </c>
      <c r="F143">
        <v>143</v>
      </c>
      <c r="G143" t="s">
        <v>110</v>
      </c>
      <c r="H143">
        <v>97</v>
      </c>
      <c r="I143">
        <v>88</v>
      </c>
      <c r="J143" t="s">
        <v>29</v>
      </c>
      <c r="K143" t="s">
        <v>29</v>
      </c>
      <c r="N143" t="s">
        <v>358</v>
      </c>
      <c r="P143">
        <v>3.37</v>
      </c>
    </row>
    <row r="144" spans="1:21" x14ac:dyDescent="0.2">
      <c r="A144" t="s">
        <v>366</v>
      </c>
      <c r="B144" t="str">
        <f t="shared" si="3"/>
        <v>97N 88E</v>
      </c>
      <c r="F144">
        <v>144</v>
      </c>
      <c r="G144" t="s">
        <v>111</v>
      </c>
      <c r="H144">
        <v>97</v>
      </c>
      <c r="I144">
        <v>88</v>
      </c>
      <c r="N144" t="s">
        <v>353</v>
      </c>
      <c r="Q144" t="s">
        <v>290</v>
      </c>
      <c r="R144" t="s">
        <v>293</v>
      </c>
    </row>
    <row r="145" spans="1:21" x14ac:dyDescent="0.2">
      <c r="A145" t="s">
        <v>366</v>
      </c>
      <c r="B145" t="str">
        <f t="shared" si="3"/>
        <v>97N 88E</v>
      </c>
      <c r="F145">
        <v>145</v>
      </c>
      <c r="G145" t="s">
        <v>111</v>
      </c>
      <c r="H145">
        <v>97</v>
      </c>
      <c r="I145">
        <v>88</v>
      </c>
      <c r="J145" t="s">
        <v>29</v>
      </c>
      <c r="K145" t="s">
        <v>29</v>
      </c>
      <c r="N145" t="s">
        <v>353</v>
      </c>
      <c r="P145">
        <v>3.47</v>
      </c>
      <c r="T145" t="s">
        <v>373</v>
      </c>
      <c r="U145" t="s">
        <v>373</v>
      </c>
    </row>
    <row r="146" spans="1:21" x14ac:dyDescent="0.2">
      <c r="A146" t="s">
        <v>366</v>
      </c>
      <c r="B146" t="str">
        <f t="shared" si="3"/>
        <v>97N 88E</v>
      </c>
      <c r="F146">
        <v>146</v>
      </c>
      <c r="G146" t="s">
        <v>113</v>
      </c>
      <c r="H146">
        <v>97</v>
      </c>
      <c r="I146">
        <v>88</v>
      </c>
      <c r="N146" t="s">
        <v>353</v>
      </c>
      <c r="Q146" t="s">
        <v>290</v>
      </c>
      <c r="R146" t="s">
        <v>293</v>
      </c>
    </row>
    <row r="147" spans="1:21" x14ac:dyDescent="0.2">
      <c r="A147" t="s">
        <v>366</v>
      </c>
      <c r="B147" t="str">
        <f t="shared" si="3"/>
        <v>97N 88E</v>
      </c>
      <c r="F147">
        <v>147</v>
      </c>
      <c r="G147" t="s">
        <v>114</v>
      </c>
      <c r="H147">
        <v>97</v>
      </c>
      <c r="I147">
        <v>88</v>
      </c>
      <c r="N147" t="s">
        <v>353</v>
      </c>
      <c r="Q147" t="s">
        <v>290</v>
      </c>
      <c r="R147" t="s">
        <v>293</v>
      </c>
    </row>
    <row r="148" spans="1:21" x14ac:dyDescent="0.2">
      <c r="A148" t="s">
        <v>366</v>
      </c>
      <c r="B148" t="str">
        <f t="shared" si="3"/>
        <v>97N 88E</v>
      </c>
      <c r="F148">
        <v>148</v>
      </c>
      <c r="G148" t="s">
        <v>115</v>
      </c>
      <c r="H148">
        <v>97</v>
      </c>
      <c r="I148">
        <v>88</v>
      </c>
      <c r="N148" t="s">
        <v>353</v>
      </c>
      <c r="Q148" t="s">
        <v>290</v>
      </c>
      <c r="R148" t="s">
        <v>293</v>
      </c>
    </row>
    <row r="149" spans="1:21" x14ac:dyDescent="0.2">
      <c r="A149" t="s">
        <v>366</v>
      </c>
      <c r="B149" t="str">
        <f t="shared" si="3"/>
        <v>97N 88E</v>
      </c>
      <c r="F149">
        <v>149</v>
      </c>
      <c r="G149" t="s">
        <v>112</v>
      </c>
      <c r="H149">
        <v>97</v>
      </c>
      <c r="I149">
        <v>88</v>
      </c>
      <c r="J149" t="s">
        <v>29</v>
      </c>
      <c r="K149" t="s">
        <v>29</v>
      </c>
      <c r="N149" t="s">
        <v>353</v>
      </c>
      <c r="P149">
        <v>2.87</v>
      </c>
      <c r="T149" t="s">
        <v>373</v>
      </c>
      <c r="U149" t="s">
        <v>373</v>
      </c>
    </row>
    <row r="150" spans="1:21" x14ac:dyDescent="0.2">
      <c r="A150" t="s">
        <v>366</v>
      </c>
      <c r="B150" t="str">
        <f t="shared" si="3"/>
        <v>97N 88E</v>
      </c>
      <c r="F150">
        <v>150</v>
      </c>
      <c r="G150" t="s">
        <v>113</v>
      </c>
      <c r="H150">
        <v>97</v>
      </c>
      <c r="I150">
        <v>88</v>
      </c>
      <c r="J150" t="s">
        <v>29</v>
      </c>
      <c r="K150" t="s">
        <v>29</v>
      </c>
      <c r="N150" t="s">
        <v>353</v>
      </c>
      <c r="P150">
        <v>3.54</v>
      </c>
      <c r="T150" t="s">
        <v>373</v>
      </c>
      <c r="U150" t="s">
        <v>373</v>
      </c>
    </row>
    <row r="151" spans="1:21" x14ac:dyDescent="0.2">
      <c r="A151" t="s">
        <v>366</v>
      </c>
      <c r="B151" t="str">
        <f t="shared" si="3"/>
        <v>97N 88E</v>
      </c>
      <c r="F151">
        <v>151</v>
      </c>
      <c r="G151" t="s">
        <v>116</v>
      </c>
      <c r="H151">
        <v>97</v>
      </c>
      <c r="I151">
        <v>88</v>
      </c>
      <c r="N151" t="s">
        <v>353</v>
      </c>
      <c r="Q151" t="s">
        <v>290</v>
      </c>
    </row>
    <row r="152" spans="1:21" x14ac:dyDescent="0.2">
      <c r="A152" t="s">
        <v>366</v>
      </c>
      <c r="B152" t="str">
        <f t="shared" si="3"/>
        <v>97N 88E</v>
      </c>
      <c r="F152">
        <v>152</v>
      </c>
      <c r="G152" t="s">
        <v>114</v>
      </c>
      <c r="H152">
        <v>97</v>
      </c>
      <c r="I152">
        <v>88</v>
      </c>
      <c r="J152" t="s">
        <v>29</v>
      </c>
      <c r="K152" t="s">
        <v>29</v>
      </c>
      <c r="N152" t="s">
        <v>353</v>
      </c>
      <c r="P152">
        <v>3.64</v>
      </c>
      <c r="T152" t="s">
        <v>373</v>
      </c>
      <c r="U152" t="s">
        <v>373</v>
      </c>
    </row>
    <row r="153" spans="1:21" x14ac:dyDescent="0.2">
      <c r="A153" t="s">
        <v>366</v>
      </c>
      <c r="B153" t="str">
        <f t="shared" si="3"/>
        <v>97N 88E</v>
      </c>
      <c r="F153">
        <v>153</v>
      </c>
      <c r="G153" t="s">
        <v>115</v>
      </c>
      <c r="H153">
        <v>97</v>
      </c>
      <c r="I153">
        <v>88</v>
      </c>
      <c r="J153" t="s">
        <v>29</v>
      </c>
      <c r="K153" t="s">
        <v>29</v>
      </c>
      <c r="N153" t="s">
        <v>353</v>
      </c>
      <c r="P153">
        <v>3.74</v>
      </c>
      <c r="T153" t="s">
        <v>373</v>
      </c>
      <c r="U153" t="s">
        <v>373</v>
      </c>
    </row>
    <row r="154" spans="1:21" x14ac:dyDescent="0.2">
      <c r="A154" t="s">
        <v>366</v>
      </c>
      <c r="B154" t="str">
        <f t="shared" si="3"/>
        <v>97N 88E</v>
      </c>
      <c r="F154">
        <v>154</v>
      </c>
      <c r="G154" t="s">
        <v>301</v>
      </c>
      <c r="H154">
        <v>97</v>
      </c>
      <c r="I154">
        <v>88</v>
      </c>
      <c r="N154" t="s">
        <v>353</v>
      </c>
      <c r="Q154" t="s">
        <v>290</v>
      </c>
    </row>
    <row r="155" spans="1:21" x14ac:dyDescent="0.2">
      <c r="A155" t="s">
        <v>366</v>
      </c>
      <c r="B155" t="str">
        <f t="shared" si="3"/>
        <v>97N 88E</v>
      </c>
      <c r="F155">
        <v>155</v>
      </c>
      <c r="G155" t="s">
        <v>116</v>
      </c>
      <c r="H155">
        <v>97</v>
      </c>
      <c r="I155">
        <v>88</v>
      </c>
      <c r="J155" t="s">
        <v>29</v>
      </c>
      <c r="K155" t="s">
        <v>29</v>
      </c>
      <c r="N155" t="s">
        <v>353</v>
      </c>
      <c r="P155">
        <v>3.9</v>
      </c>
      <c r="T155" t="s">
        <v>373</v>
      </c>
      <c r="U155" t="s">
        <v>373</v>
      </c>
    </row>
    <row r="156" spans="1:21" x14ac:dyDescent="0.2">
      <c r="A156" t="s">
        <v>366</v>
      </c>
      <c r="B156" t="str">
        <f t="shared" si="3"/>
        <v>97N 67E</v>
      </c>
      <c r="F156">
        <v>156</v>
      </c>
      <c r="G156" t="s">
        <v>61</v>
      </c>
      <c r="H156">
        <v>97</v>
      </c>
      <c r="I156">
        <v>67</v>
      </c>
      <c r="J156" t="s">
        <v>43</v>
      </c>
      <c r="N156" t="s">
        <v>357</v>
      </c>
      <c r="P156">
        <v>1.55</v>
      </c>
    </row>
    <row r="157" spans="1:21" x14ac:dyDescent="0.2">
      <c r="A157" t="s">
        <v>366</v>
      </c>
      <c r="B157" t="str">
        <f t="shared" si="3"/>
        <v>97N 67E</v>
      </c>
      <c r="F157">
        <v>157</v>
      </c>
      <c r="G157" t="s">
        <v>89</v>
      </c>
      <c r="H157">
        <v>97</v>
      </c>
      <c r="I157">
        <v>67</v>
      </c>
      <c r="J157" t="s">
        <v>29</v>
      </c>
      <c r="K157" t="s">
        <v>29</v>
      </c>
      <c r="N157" t="s">
        <v>356</v>
      </c>
      <c r="P157">
        <v>1.55</v>
      </c>
    </row>
    <row r="158" spans="1:21" x14ac:dyDescent="0.2">
      <c r="A158" t="s">
        <v>366</v>
      </c>
      <c r="B158" t="str">
        <f t="shared" si="3"/>
        <v>97N 67E</v>
      </c>
      <c r="F158">
        <v>158</v>
      </c>
      <c r="G158" t="s">
        <v>117</v>
      </c>
      <c r="H158">
        <v>97</v>
      </c>
      <c r="I158">
        <v>67</v>
      </c>
      <c r="N158" t="s">
        <v>356</v>
      </c>
      <c r="P158">
        <v>1.68</v>
      </c>
    </row>
    <row r="159" spans="1:21" x14ac:dyDescent="0.2">
      <c r="A159" t="s">
        <v>366</v>
      </c>
      <c r="B159" t="str">
        <f t="shared" si="3"/>
        <v>97N 67E</v>
      </c>
      <c r="F159">
        <v>159</v>
      </c>
      <c r="G159" t="s">
        <v>78</v>
      </c>
      <c r="H159">
        <v>97</v>
      </c>
      <c r="I159">
        <v>67</v>
      </c>
      <c r="J159" t="s">
        <v>29</v>
      </c>
      <c r="K159" t="s">
        <v>29</v>
      </c>
      <c r="N159" t="s">
        <v>356</v>
      </c>
      <c r="P159">
        <v>1.65</v>
      </c>
    </row>
    <row r="160" spans="1:21" x14ac:dyDescent="0.2">
      <c r="A160" t="s">
        <v>366</v>
      </c>
      <c r="B160" t="str">
        <f t="shared" si="3"/>
        <v>97N 67E</v>
      </c>
      <c r="F160">
        <v>160</v>
      </c>
      <c r="G160" t="s">
        <v>33</v>
      </c>
      <c r="H160">
        <v>97</v>
      </c>
      <c r="I160">
        <v>67</v>
      </c>
      <c r="J160" t="s">
        <v>17</v>
      </c>
      <c r="K160" t="s">
        <v>17</v>
      </c>
      <c r="N160" t="s">
        <v>356</v>
      </c>
      <c r="P160">
        <v>1.66</v>
      </c>
    </row>
    <row r="161" spans="1:18" x14ac:dyDescent="0.2">
      <c r="A161" t="s">
        <v>366</v>
      </c>
      <c r="B161" t="str">
        <f t="shared" si="3"/>
        <v>97N 67E</v>
      </c>
      <c r="F161">
        <v>161</v>
      </c>
      <c r="G161" t="s">
        <v>74</v>
      </c>
      <c r="H161">
        <v>97</v>
      </c>
      <c r="I161">
        <v>67</v>
      </c>
      <c r="N161" t="s">
        <v>358</v>
      </c>
      <c r="P161">
        <v>1.65</v>
      </c>
    </row>
    <row r="162" spans="1:18" x14ac:dyDescent="0.2">
      <c r="A162" t="s">
        <v>366</v>
      </c>
      <c r="B162" t="str">
        <f t="shared" si="3"/>
        <v>97N 67E</v>
      </c>
      <c r="F162">
        <v>162</v>
      </c>
      <c r="G162" t="s">
        <v>118</v>
      </c>
      <c r="H162">
        <v>97</v>
      </c>
      <c r="I162">
        <v>67</v>
      </c>
      <c r="J162" t="s">
        <v>29</v>
      </c>
      <c r="K162" t="s">
        <v>29</v>
      </c>
      <c r="N162" t="s">
        <v>356</v>
      </c>
      <c r="P162">
        <v>1.66</v>
      </c>
    </row>
    <row r="163" spans="1:18" x14ac:dyDescent="0.2">
      <c r="A163" t="s">
        <v>366</v>
      </c>
      <c r="B163" t="str">
        <f t="shared" si="3"/>
        <v>97N 67E</v>
      </c>
      <c r="F163">
        <v>163</v>
      </c>
      <c r="G163" t="s">
        <v>18</v>
      </c>
      <c r="H163">
        <v>97</v>
      </c>
      <c r="I163">
        <v>67</v>
      </c>
      <c r="J163" t="s">
        <v>17</v>
      </c>
      <c r="K163" t="s">
        <v>17</v>
      </c>
      <c r="N163" t="s">
        <v>356</v>
      </c>
      <c r="P163">
        <v>1.65</v>
      </c>
    </row>
    <row r="164" spans="1:18" x14ac:dyDescent="0.2">
      <c r="A164" t="s">
        <v>366</v>
      </c>
      <c r="B164" t="str">
        <f t="shared" si="3"/>
        <v>97N 67E</v>
      </c>
      <c r="F164">
        <v>164</v>
      </c>
      <c r="G164" t="s">
        <v>119</v>
      </c>
      <c r="H164">
        <v>97</v>
      </c>
      <c r="I164">
        <v>67</v>
      </c>
      <c r="J164" t="s">
        <v>29</v>
      </c>
      <c r="K164" t="s">
        <v>29</v>
      </c>
      <c r="N164" t="s">
        <v>356</v>
      </c>
      <c r="P164">
        <v>1.81</v>
      </c>
    </row>
    <row r="165" spans="1:18" x14ac:dyDescent="0.2">
      <c r="A165" t="s">
        <v>366</v>
      </c>
      <c r="B165" t="str">
        <f t="shared" si="3"/>
        <v>97N 67E</v>
      </c>
      <c r="F165">
        <v>165</v>
      </c>
      <c r="G165" t="s">
        <v>48</v>
      </c>
      <c r="H165">
        <v>97</v>
      </c>
      <c r="I165">
        <v>67</v>
      </c>
      <c r="J165" t="s">
        <v>17</v>
      </c>
      <c r="K165" t="s">
        <v>17</v>
      </c>
      <c r="N165" t="s">
        <v>357</v>
      </c>
      <c r="P165">
        <v>1.65</v>
      </c>
    </row>
    <row r="166" spans="1:18" x14ac:dyDescent="0.2">
      <c r="A166" t="s">
        <v>366</v>
      </c>
      <c r="B166" t="str">
        <f t="shared" si="3"/>
        <v>97N 67E</v>
      </c>
      <c r="F166">
        <v>166</v>
      </c>
      <c r="G166" t="s">
        <v>120</v>
      </c>
      <c r="H166">
        <v>97</v>
      </c>
      <c r="I166">
        <v>67</v>
      </c>
      <c r="J166" t="s">
        <v>29</v>
      </c>
      <c r="K166" t="s">
        <v>29</v>
      </c>
      <c r="N166" t="s">
        <v>356</v>
      </c>
      <c r="P166">
        <v>1.86</v>
      </c>
    </row>
    <row r="167" spans="1:18" x14ac:dyDescent="0.2">
      <c r="A167" t="s">
        <v>366</v>
      </c>
      <c r="B167" t="str">
        <f t="shared" si="3"/>
        <v>97N 67E</v>
      </c>
      <c r="F167">
        <v>167</v>
      </c>
      <c r="G167" t="s">
        <v>121</v>
      </c>
      <c r="H167">
        <v>97</v>
      </c>
      <c r="I167">
        <v>67</v>
      </c>
      <c r="N167" t="s">
        <v>356</v>
      </c>
      <c r="P167">
        <v>1.85</v>
      </c>
    </row>
    <row r="168" spans="1:18" x14ac:dyDescent="0.2">
      <c r="A168" t="s">
        <v>366</v>
      </c>
      <c r="B168" t="str">
        <f t="shared" si="3"/>
        <v>97N 67E</v>
      </c>
      <c r="F168">
        <v>168</v>
      </c>
      <c r="G168" t="s">
        <v>54</v>
      </c>
      <c r="H168">
        <v>97</v>
      </c>
      <c r="I168">
        <v>67</v>
      </c>
      <c r="N168" t="s">
        <v>356</v>
      </c>
      <c r="P168">
        <v>1.87</v>
      </c>
    </row>
    <row r="169" spans="1:18" x14ac:dyDescent="0.2">
      <c r="A169" t="s">
        <v>366</v>
      </c>
      <c r="B169" t="str">
        <f t="shared" si="3"/>
        <v>97N 67E</v>
      </c>
      <c r="F169">
        <v>169</v>
      </c>
      <c r="G169" t="s">
        <v>122</v>
      </c>
      <c r="H169">
        <v>97</v>
      </c>
      <c r="I169">
        <v>67</v>
      </c>
      <c r="N169" t="s">
        <v>356</v>
      </c>
      <c r="P169">
        <v>1.88</v>
      </c>
    </row>
    <row r="170" spans="1:18" x14ac:dyDescent="0.2">
      <c r="A170" t="s">
        <v>366</v>
      </c>
      <c r="B170" t="str">
        <f t="shared" si="3"/>
        <v>97N 67E</v>
      </c>
      <c r="F170">
        <v>170</v>
      </c>
      <c r="G170" t="s">
        <v>44</v>
      </c>
      <c r="H170">
        <v>97</v>
      </c>
      <c r="I170">
        <v>67</v>
      </c>
      <c r="N170" t="s">
        <v>356</v>
      </c>
      <c r="P170">
        <v>1.85</v>
      </c>
    </row>
    <row r="171" spans="1:18" x14ac:dyDescent="0.2">
      <c r="A171" t="s">
        <v>366</v>
      </c>
      <c r="B171" t="str">
        <f t="shared" si="3"/>
        <v>97N 67E</v>
      </c>
      <c r="F171">
        <v>171</v>
      </c>
      <c r="G171" t="s">
        <v>123</v>
      </c>
      <c r="H171">
        <v>97</v>
      </c>
      <c r="I171">
        <v>67</v>
      </c>
      <c r="N171" t="s">
        <v>356</v>
      </c>
      <c r="P171">
        <v>1.89</v>
      </c>
    </row>
    <row r="172" spans="1:18" x14ac:dyDescent="0.2">
      <c r="A172" t="s">
        <v>366</v>
      </c>
      <c r="B172" t="str">
        <f t="shared" si="3"/>
        <v>97N 67E</v>
      </c>
      <c r="F172">
        <v>172</v>
      </c>
      <c r="G172" t="s">
        <v>34</v>
      </c>
      <c r="H172">
        <v>97</v>
      </c>
      <c r="I172">
        <v>67</v>
      </c>
      <c r="J172" t="s">
        <v>29</v>
      </c>
      <c r="K172" t="s">
        <v>29</v>
      </c>
      <c r="N172" t="s">
        <v>356</v>
      </c>
      <c r="P172">
        <v>1.89</v>
      </c>
    </row>
    <row r="173" spans="1:18" x14ac:dyDescent="0.2">
      <c r="A173" t="s">
        <v>366</v>
      </c>
      <c r="B173" t="str">
        <f t="shared" si="3"/>
        <v>97N 67E</v>
      </c>
      <c r="F173">
        <v>173</v>
      </c>
      <c r="G173" t="s">
        <v>124</v>
      </c>
      <c r="H173">
        <v>97</v>
      </c>
      <c r="I173">
        <v>67</v>
      </c>
      <c r="J173" t="s">
        <v>125</v>
      </c>
      <c r="N173" t="s">
        <v>356</v>
      </c>
      <c r="P173">
        <v>1.85</v>
      </c>
    </row>
    <row r="174" spans="1:18" x14ac:dyDescent="0.2">
      <c r="A174" t="s">
        <v>366</v>
      </c>
      <c r="B174" t="str">
        <f t="shared" si="3"/>
        <v>97N 67E</v>
      </c>
      <c r="F174">
        <v>174</v>
      </c>
      <c r="G174" t="s">
        <v>126</v>
      </c>
      <c r="H174">
        <v>97</v>
      </c>
      <c r="I174">
        <v>67</v>
      </c>
      <c r="N174" t="s">
        <v>356</v>
      </c>
      <c r="P174">
        <v>1.86</v>
      </c>
      <c r="R174" t="s">
        <v>302</v>
      </c>
    </row>
    <row r="175" spans="1:18" x14ac:dyDescent="0.2">
      <c r="A175" t="s">
        <v>366</v>
      </c>
      <c r="B175" t="str">
        <f t="shared" si="3"/>
        <v>97N 67E</v>
      </c>
      <c r="F175">
        <v>175</v>
      </c>
      <c r="G175" t="s">
        <v>127</v>
      </c>
      <c r="H175">
        <v>97</v>
      </c>
      <c r="I175">
        <v>67</v>
      </c>
      <c r="J175" t="s">
        <v>17</v>
      </c>
      <c r="K175" t="s">
        <v>17</v>
      </c>
      <c r="N175" t="s">
        <v>358</v>
      </c>
      <c r="P175">
        <v>1.73</v>
      </c>
    </row>
    <row r="176" spans="1:18" x14ac:dyDescent="0.2">
      <c r="A176" t="s">
        <v>366</v>
      </c>
      <c r="B176" t="str">
        <f t="shared" si="3"/>
        <v>97N 67E</v>
      </c>
      <c r="F176">
        <v>176</v>
      </c>
      <c r="G176" t="s">
        <v>128</v>
      </c>
      <c r="H176">
        <v>97</v>
      </c>
      <c r="I176">
        <v>67</v>
      </c>
      <c r="J176" t="s">
        <v>29</v>
      </c>
      <c r="K176" t="s">
        <v>29</v>
      </c>
      <c r="N176" t="s">
        <v>353</v>
      </c>
      <c r="P176">
        <v>1.87</v>
      </c>
    </row>
    <row r="177" spans="1:16" x14ac:dyDescent="0.2">
      <c r="A177" t="s">
        <v>366</v>
      </c>
      <c r="B177" t="str">
        <f t="shared" si="3"/>
        <v>97N 67E</v>
      </c>
      <c r="F177">
        <v>177</v>
      </c>
      <c r="G177" t="s">
        <v>129</v>
      </c>
      <c r="H177">
        <v>97</v>
      </c>
      <c r="I177">
        <v>67</v>
      </c>
      <c r="J177" t="s">
        <v>29</v>
      </c>
      <c r="K177" t="s">
        <v>29</v>
      </c>
      <c r="N177" t="s">
        <v>356</v>
      </c>
      <c r="P177">
        <v>1.87</v>
      </c>
    </row>
    <row r="178" spans="1:16" x14ac:dyDescent="0.2">
      <c r="A178" t="s">
        <v>366</v>
      </c>
      <c r="B178" t="str">
        <f t="shared" si="3"/>
        <v>97N 88E</v>
      </c>
      <c r="F178">
        <v>178</v>
      </c>
      <c r="G178" t="s">
        <v>130</v>
      </c>
      <c r="H178">
        <v>97</v>
      </c>
      <c r="I178">
        <v>88</v>
      </c>
      <c r="N178" t="s">
        <v>358</v>
      </c>
      <c r="P178">
        <v>1.82</v>
      </c>
    </row>
    <row r="179" spans="1:16" x14ac:dyDescent="0.2">
      <c r="A179" t="s">
        <v>366</v>
      </c>
      <c r="B179" t="str">
        <f t="shared" si="3"/>
        <v>97N 67E</v>
      </c>
      <c r="F179">
        <v>179</v>
      </c>
      <c r="G179" t="s">
        <v>58</v>
      </c>
      <c r="H179">
        <v>97</v>
      </c>
      <c r="I179">
        <v>67</v>
      </c>
      <c r="J179" t="s">
        <v>77</v>
      </c>
      <c r="N179" t="s">
        <v>357</v>
      </c>
      <c r="P179">
        <v>1.84</v>
      </c>
    </row>
    <row r="180" spans="1:16" x14ac:dyDescent="0.2">
      <c r="A180" t="s">
        <v>366</v>
      </c>
      <c r="B180" t="str">
        <f t="shared" ref="B180:B243" si="4">_xlfn.CONCAT(H180, "N ", I180, "E")</f>
        <v>97N 67E</v>
      </c>
      <c r="F180">
        <v>180</v>
      </c>
      <c r="G180" t="s">
        <v>57</v>
      </c>
      <c r="H180">
        <v>97</v>
      </c>
      <c r="I180">
        <v>67</v>
      </c>
      <c r="N180" t="s">
        <v>356</v>
      </c>
    </row>
    <row r="181" spans="1:16" x14ac:dyDescent="0.2">
      <c r="A181" t="s">
        <v>366</v>
      </c>
      <c r="B181" t="str">
        <f t="shared" si="4"/>
        <v>97N 88E</v>
      </c>
      <c r="F181">
        <v>181</v>
      </c>
      <c r="G181" t="s">
        <v>303</v>
      </c>
      <c r="H181">
        <v>97</v>
      </c>
      <c r="I181">
        <v>88</v>
      </c>
      <c r="N181" t="s">
        <v>353</v>
      </c>
      <c r="P181">
        <v>2.44</v>
      </c>
    </row>
    <row r="182" spans="1:16" x14ac:dyDescent="0.2">
      <c r="A182" t="s">
        <v>366</v>
      </c>
      <c r="B182" t="str">
        <f t="shared" si="4"/>
        <v>97N 67E</v>
      </c>
      <c r="F182">
        <v>182</v>
      </c>
      <c r="G182" t="s">
        <v>131</v>
      </c>
      <c r="H182">
        <v>97</v>
      </c>
      <c r="I182">
        <v>67</v>
      </c>
      <c r="J182" t="s">
        <v>29</v>
      </c>
      <c r="K182" t="s">
        <v>29</v>
      </c>
      <c r="N182" t="s">
        <v>358</v>
      </c>
      <c r="P182">
        <v>1.95</v>
      </c>
    </row>
    <row r="183" spans="1:16" x14ac:dyDescent="0.2">
      <c r="A183" t="s">
        <v>366</v>
      </c>
      <c r="B183" t="str">
        <f t="shared" si="4"/>
        <v>97N 67E</v>
      </c>
      <c r="F183">
        <v>183</v>
      </c>
      <c r="G183" t="s">
        <v>132</v>
      </c>
      <c r="H183">
        <v>97</v>
      </c>
      <c r="I183">
        <v>67</v>
      </c>
      <c r="J183" t="s">
        <v>29</v>
      </c>
      <c r="K183" t="s">
        <v>29</v>
      </c>
      <c r="N183" t="s">
        <v>356</v>
      </c>
      <c r="P183">
        <v>1.94</v>
      </c>
    </row>
    <row r="184" spans="1:16" x14ac:dyDescent="0.2">
      <c r="A184" t="s">
        <v>366</v>
      </c>
      <c r="B184" t="str">
        <f t="shared" si="4"/>
        <v>92.5N 68E</v>
      </c>
      <c r="F184">
        <v>184</v>
      </c>
      <c r="G184" t="s">
        <v>23</v>
      </c>
      <c r="H184">
        <v>92.5</v>
      </c>
      <c r="I184">
        <v>68</v>
      </c>
      <c r="J184" t="s">
        <v>17</v>
      </c>
      <c r="K184" t="s">
        <v>17</v>
      </c>
      <c r="N184" t="s">
        <v>356</v>
      </c>
      <c r="P184">
        <v>1.54</v>
      </c>
    </row>
    <row r="185" spans="1:16" x14ac:dyDescent="0.2">
      <c r="A185" t="s">
        <v>366</v>
      </c>
      <c r="B185" t="str">
        <f t="shared" si="4"/>
        <v>92.5N 68E</v>
      </c>
      <c r="F185">
        <v>185</v>
      </c>
      <c r="G185" t="s">
        <v>18</v>
      </c>
      <c r="H185">
        <v>92.5</v>
      </c>
      <c r="I185">
        <v>68</v>
      </c>
      <c r="J185" t="s">
        <v>17</v>
      </c>
      <c r="K185" t="s">
        <v>17</v>
      </c>
      <c r="N185" t="s">
        <v>356</v>
      </c>
      <c r="P185">
        <v>1.61</v>
      </c>
    </row>
    <row r="186" spans="1:16" x14ac:dyDescent="0.2">
      <c r="A186" t="s">
        <v>366</v>
      </c>
      <c r="B186" t="str">
        <f t="shared" si="4"/>
        <v>92.5N 68E</v>
      </c>
      <c r="F186">
        <v>186</v>
      </c>
      <c r="G186" t="s">
        <v>133</v>
      </c>
      <c r="H186">
        <v>92.5</v>
      </c>
      <c r="I186">
        <v>68</v>
      </c>
      <c r="J186" t="s">
        <v>17</v>
      </c>
      <c r="K186" t="s">
        <v>17</v>
      </c>
      <c r="N186" t="s">
        <v>356</v>
      </c>
      <c r="P186">
        <v>1.91</v>
      </c>
    </row>
    <row r="187" spans="1:16" x14ac:dyDescent="0.2">
      <c r="A187" t="s">
        <v>366</v>
      </c>
      <c r="B187" t="str">
        <f t="shared" si="4"/>
        <v>92.5N 68E</v>
      </c>
      <c r="F187">
        <v>187</v>
      </c>
      <c r="G187" t="s">
        <v>87</v>
      </c>
      <c r="H187">
        <v>92.5</v>
      </c>
      <c r="I187">
        <v>68</v>
      </c>
      <c r="J187" t="s">
        <v>17</v>
      </c>
      <c r="K187" t="s">
        <v>17</v>
      </c>
      <c r="N187" t="s">
        <v>356</v>
      </c>
      <c r="P187">
        <v>1.57</v>
      </c>
    </row>
    <row r="188" spans="1:16" x14ac:dyDescent="0.2">
      <c r="A188" t="s">
        <v>366</v>
      </c>
      <c r="B188" t="str">
        <f t="shared" si="4"/>
        <v>92.5N 68E</v>
      </c>
      <c r="F188">
        <v>188</v>
      </c>
      <c r="G188" t="s">
        <v>20</v>
      </c>
      <c r="H188">
        <v>92.5</v>
      </c>
      <c r="I188">
        <v>68</v>
      </c>
      <c r="J188" t="s">
        <v>125</v>
      </c>
      <c r="N188" t="s">
        <v>356</v>
      </c>
      <c r="P188">
        <v>1.58</v>
      </c>
    </row>
    <row r="189" spans="1:16" x14ac:dyDescent="0.2">
      <c r="A189" t="s">
        <v>366</v>
      </c>
      <c r="B189" t="str">
        <f t="shared" si="4"/>
        <v>91N 88E</v>
      </c>
      <c r="F189">
        <v>189</v>
      </c>
      <c r="G189" t="s">
        <v>18</v>
      </c>
      <c r="H189">
        <v>91</v>
      </c>
      <c r="I189">
        <v>88</v>
      </c>
      <c r="J189" t="s">
        <v>17</v>
      </c>
      <c r="K189" t="s">
        <v>17</v>
      </c>
      <c r="N189" t="s">
        <v>356</v>
      </c>
      <c r="P189">
        <v>2.2799999999999998</v>
      </c>
    </row>
    <row r="190" spans="1:16" x14ac:dyDescent="0.2">
      <c r="A190" t="s">
        <v>366</v>
      </c>
      <c r="B190" t="str">
        <f t="shared" si="4"/>
        <v>92.5N 68E</v>
      </c>
      <c r="F190">
        <v>190</v>
      </c>
      <c r="G190" t="s">
        <v>78</v>
      </c>
      <c r="H190">
        <v>92.5</v>
      </c>
      <c r="I190">
        <v>68</v>
      </c>
      <c r="J190" t="s">
        <v>17</v>
      </c>
      <c r="K190" t="s">
        <v>17</v>
      </c>
      <c r="N190" t="s">
        <v>356</v>
      </c>
      <c r="P190">
        <v>1.57</v>
      </c>
    </row>
    <row r="191" spans="1:16" x14ac:dyDescent="0.2">
      <c r="A191" t="s">
        <v>366</v>
      </c>
      <c r="B191" t="str">
        <f t="shared" si="4"/>
        <v>92.5N 68E</v>
      </c>
      <c r="F191">
        <v>191</v>
      </c>
      <c r="G191" t="s">
        <v>36</v>
      </c>
      <c r="H191">
        <v>92.5</v>
      </c>
      <c r="I191">
        <v>68</v>
      </c>
      <c r="J191" t="s">
        <v>17</v>
      </c>
      <c r="K191" t="s">
        <v>17</v>
      </c>
      <c r="N191" t="s">
        <v>356</v>
      </c>
      <c r="P191">
        <v>1.56</v>
      </c>
    </row>
    <row r="192" spans="1:16" x14ac:dyDescent="0.2">
      <c r="A192" t="s">
        <v>366</v>
      </c>
      <c r="B192" t="str">
        <f t="shared" si="4"/>
        <v>92.5N 68E</v>
      </c>
      <c r="F192">
        <v>192</v>
      </c>
      <c r="G192" t="s">
        <v>74</v>
      </c>
      <c r="H192">
        <v>92.5</v>
      </c>
      <c r="I192">
        <v>68</v>
      </c>
      <c r="J192" t="s">
        <v>134</v>
      </c>
      <c r="N192" t="s">
        <v>358</v>
      </c>
      <c r="P192">
        <v>1.56</v>
      </c>
    </row>
    <row r="193" spans="1:21" x14ac:dyDescent="0.2">
      <c r="A193" t="s">
        <v>366</v>
      </c>
      <c r="B193" t="str">
        <f t="shared" si="4"/>
        <v>92.5N 68E</v>
      </c>
      <c r="F193">
        <v>193</v>
      </c>
      <c r="G193" t="s">
        <v>135</v>
      </c>
      <c r="H193">
        <v>92.5</v>
      </c>
      <c r="I193">
        <v>68</v>
      </c>
      <c r="J193" t="s">
        <v>29</v>
      </c>
      <c r="K193" t="s">
        <v>29</v>
      </c>
      <c r="N193" t="s">
        <v>358</v>
      </c>
      <c r="P193">
        <v>1.58</v>
      </c>
    </row>
    <row r="194" spans="1:21" x14ac:dyDescent="0.2">
      <c r="A194" t="s">
        <v>366</v>
      </c>
      <c r="B194" t="str">
        <f t="shared" si="4"/>
        <v>92.5N 68E</v>
      </c>
      <c r="F194">
        <v>194</v>
      </c>
      <c r="G194" t="s">
        <v>61</v>
      </c>
      <c r="H194">
        <v>92.5</v>
      </c>
      <c r="I194">
        <v>68</v>
      </c>
      <c r="J194" t="s">
        <v>77</v>
      </c>
      <c r="N194" t="s">
        <v>357</v>
      </c>
      <c r="P194">
        <v>1.6</v>
      </c>
    </row>
    <row r="195" spans="1:21" x14ac:dyDescent="0.2">
      <c r="A195" t="s">
        <v>366</v>
      </c>
      <c r="B195" t="str">
        <f t="shared" si="4"/>
        <v>92.5N 68E</v>
      </c>
      <c r="F195">
        <v>195</v>
      </c>
      <c r="G195" t="s">
        <v>33</v>
      </c>
      <c r="H195" s="2">
        <v>92.5</v>
      </c>
      <c r="I195" s="2">
        <v>68</v>
      </c>
      <c r="J195" t="s">
        <v>134</v>
      </c>
      <c r="N195" t="s">
        <v>356</v>
      </c>
      <c r="P195">
        <v>1.68</v>
      </c>
    </row>
    <row r="196" spans="1:21" x14ac:dyDescent="0.2">
      <c r="A196" t="s">
        <v>366</v>
      </c>
      <c r="B196" t="str">
        <f t="shared" si="4"/>
        <v>92.5N 68E</v>
      </c>
      <c r="F196">
        <v>196</v>
      </c>
      <c r="G196" t="s">
        <v>118</v>
      </c>
      <c r="H196" s="2">
        <v>92.5</v>
      </c>
      <c r="I196" s="2">
        <v>68</v>
      </c>
      <c r="J196" t="s">
        <v>63</v>
      </c>
      <c r="K196" t="s">
        <v>63</v>
      </c>
      <c r="N196" t="s">
        <v>356</v>
      </c>
      <c r="P196">
        <v>1.71</v>
      </c>
      <c r="S196" t="s">
        <v>371</v>
      </c>
      <c r="U196" t="s">
        <v>371</v>
      </c>
    </row>
    <row r="197" spans="1:21" x14ac:dyDescent="0.2">
      <c r="A197" t="s">
        <v>366</v>
      </c>
      <c r="B197" t="str">
        <f t="shared" si="4"/>
        <v>92.5N 68E</v>
      </c>
      <c r="F197">
        <v>197</v>
      </c>
      <c r="G197" t="s">
        <v>79</v>
      </c>
      <c r="H197" s="2">
        <v>92.5</v>
      </c>
      <c r="I197" s="2">
        <v>68</v>
      </c>
      <c r="J197" t="s">
        <v>17</v>
      </c>
      <c r="K197" t="s">
        <v>17</v>
      </c>
      <c r="N197" t="s">
        <v>356</v>
      </c>
      <c r="P197">
        <v>1.72</v>
      </c>
    </row>
    <row r="198" spans="1:21" x14ac:dyDescent="0.2">
      <c r="A198" t="s">
        <v>366</v>
      </c>
      <c r="B198" t="str">
        <f t="shared" si="4"/>
        <v>92.5N 68E</v>
      </c>
      <c r="F198">
        <v>198</v>
      </c>
      <c r="G198" t="s">
        <v>136</v>
      </c>
      <c r="H198" s="2">
        <v>92.5</v>
      </c>
      <c r="I198" s="2">
        <v>68</v>
      </c>
      <c r="J198" t="s">
        <v>55</v>
      </c>
      <c r="K198" t="s">
        <v>55</v>
      </c>
      <c r="N198" t="s">
        <v>356</v>
      </c>
      <c r="P198">
        <v>1.72</v>
      </c>
      <c r="S198" t="s">
        <v>371</v>
      </c>
      <c r="U198" t="s">
        <v>371</v>
      </c>
    </row>
    <row r="199" spans="1:21" x14ac:dyDescent="0.2">
      <c r="A199" t="s">
        <v>366</v>
      </c>
      <c r="B199" t="str">
        <f t="shared" si="4"/>
        <v>92.5N 68E</v>
      </c>
      <c r="F199">
        <v>199</v>
      </c>
      <c r="G199" t="s">
        <v>137</v>
      </c>
      <c r="H199" s="2">
        <v>92.5</v>
      </c>
      <c r="I199" s="2">
        <v>68</v>
      </c>
      <c r="J199" t="s">
        <v>138</v>
      </c>
      <c r="N199" t="s">
        <v>358</v>
      </c>
      <c r="P199">
        <v>1.7</v>
      </c>
    </row>
    <row r="200" spans="1:21" x14ac:dyDescent="0.2">
      <c r="A200" t="s">
        <v>366</v>
      </c>
      <c r="B200" t="str">
        <f t="shared" si="4"/>
        <v>92.5N 68E</v>
      </c>
      <c r="F200">
        <v>200</v>
      </c>
      <c r="G200" t="s">
        <v>52</v>
      </c>
      <c r="H200" s="2">
        <v>92.5</v>
      </c>
      <c r="I200" s="2">
        <v>68</v>
      </c>
      <c r="J200" t="s">
        <v>17</v>
      </c>
      <c r="K200" t="s">
        <v>17</v>
      </c>
      <c r="N200" t="s">
        <v>356</v>
      </c>
      <c r="P200">
        <v>1.59</v>
      </c>
    </row>
    <row r="201" spans="1:21" x14ac:dyDescent="0.2">
      <c r="A201" t="s">
        <v>366</v>
      </c>
      <c r="B201" t="str">
        <f t="shared" si="4"/>
        <v>92.5N 68E</v>
      </c>
      <c r="F201">
        <v>201</v>
      </c>
      <c r="G201" t="s">
        <v>30</v>
      </c>
      <c r="H201" s="2">
        <v>92.5</v>
      </c>
      <c r="I201" s="2">
        <v>68</v>
      </c>
      <c r="J201" t="s">
        <v>125</v>
      </c>
      <c r="N201" t="s">
        <v>356</v>
      </c>
      <c r="P201">
        <v>1.68</v>
      </c>
    </row>
    <row r="202" spans="1:21" x14ac:dyDescent="0.2">
      <c r="A202" t="s">
        <v>366</v>
      </c>
      <c r="B202" t="str">
        <f t="shared" si="4"/>
        <v>92.5N 68E</v>
      </c>
      <c r="F202">
        <v>202</v>
      </c>
      <c r="G202" t="s">
        <v>36</v>
      </c>
      <c r="H202" s="2">
        <v>92.5</v>
      </c>
      <c r="I202" s="2">
        <v>68</v>
      </c>
      <c r="J202" t="s">
        <v>125</v>
      </c>
      <c r="N202" t="s">
        <v>356</v>
      </c>
      <c r="P202">
        <v>1.65</v>
      </c>
    </row>
    <row r="203" spans="1:21" x14ac:dyDescent="0.2">
      <c r="A203" t="s">
        <v>366</v>
      </c>
      <c r="B203" t="str">
        <f t="shared" si="4"/>
        <v>92.5N 68E</v>
      </c>
      <c r="F203">
        <v>203</v>
      </c>
      <c r="G203" t="s">
        <v>122</v>
      </c>
      <c r="H203" s="2">
        <v>92.5</v>
      </c>
      <c r="I203" s="2">
        <v>68</v>
      </c>
      <c r="J203" t="s">
        <v>125</v>
      </c>
      <c r="N203" t="s">
        <v>356</v>
      </c>
      <c r="P203">
        <v>1.69</v>
      </c>
    </row>
    <row r="204" spans="1:21" x14ac:dyDescent="0.2">
      <c r="A204" t="s">
        <v>366</v>
      </c>
      <c r="B204" t="str">
        <f t="shared" si="4"/>
        <v>92.5N 68E</v>
      </c>
      <c r="F204">
        <v>204</v>
      </c>
      <c r="G204" t="s">
        <v>139</v>
      </c>
      <c r="H204" s="2">
        <v>92.5</v>
      </c>
      <c r="I204" s="2">
        <v>68</v>
      </c>
      <c r="J204" t="s">
        <v>25</v>
      </c>
      <c r="K204" t="s">
        <v>12</v>
      </c>
      <c r="N204" t="s">
        <v>356</v>
      </c>
      <c r="P204">
        <v>1.68</v>
      </c>
    </row>
    <row r="205" spans="1:21" x14ac:dyDescent="0.2">
      <c r="A205" t="s">
        <v>366</v>
      </c>
      <c r="B205" t="str">
        <f t="shared" si="4"/>
        <v>92.5N 68E</v>
      </c>
      <c r="F205">
        <v>205</v>
      </c>
      <c r="G205" t="s">
        <v>140</v>
      </c>
      <c r="H205" s="2">
        <v>92.5</v>
      </c>
      <c r="I205" s="2">
        <v>68</v>
      </c>
      <c r="J205" t="s">
        <v>17</v>
      </c>
      <c r="K205" t="s">
        <v>17</v>
      </c>
      <c r="N205" t="s">
        <v>353</v>
      </c>
      <c r="P205">
        <v>1.58</v>
      </c>
      <c r="T205" t="s">
        <v>373</v>
      </c>
      <c r="U205" t="s">
        <v>373</v>
      </c>
    </row>
    <row r="206" spans="1:21" x14ac:dyDescent="0.2">
      <c r="A206" t="s">
        <v>366</v>
      </c>
      <c r="B206" t="str">
        <f t="shared" si="4"/>
        <v>92.5N 68E</v>
      </c>
      <c r="F206">
        <v>206</v>
      </c>
      <c r="G206" t="s">
        <v>141</v>
      </c>
      <c r="H206" s="2">
        <v>92.5</v>
      </c>
      <c r="I206" s="2">
        <v>68</v>
      </c>
      <c r="J206" t="s">
        <v>17</v>
      </c>
      <c r="K206" t="s">
        <v>17</v>
      </c>
      <c r="N206" t="s">
        <v>356</v>
      </c>
      <c r="P206">
        <v>1.79</v>
      </c>
    </row>
    <row r="207" spans="1:21" x14ac:dyDescent="0.2">
      <c r="A207" t="s">
        <v>366</v>
      </c>
      <c r="B207" t="str">
        <f t="shared" si="4"/>
        <v>92.5N 65.5E</v>
      </c>
      <c r="F207">
        <v>207</v>
      </c>
      <c r="G207" t="s">
        <v>124</v>
      </c>
      <c r="H207" s="2">
        <v>92.5</v>
      </c>
      <c r="I207" s="2">
        <v>65.5</v>
      </c>
      <c r="J207" t="s">
        <v>17</v>
      </c>
      <c r="K207" t="s">
        <v>17</v>
      </c>
      <c r="N207" t="s">
        <v>356</v>
      </c>
      <c r="P207">
        <v>1.75</v>
      </c>
    </row>
    <row r="208" spans="1:21" x14ac:dyDescent="0.2">
      <c r="A208" t="s">
        <v>366</v>
      </c>
      <c r="B208" t="str">
        <f t="shared" si="4"/>
        <v>97N 65.5E</v>
      </c>
      <c r="F208">
        <v>208</v>
      </c>
      <c r="G208" t="s">
        <v>84</v>
      </c>
      <c r="H208" s="2">
        <v>97</v>
      </c>
      <c r="I208" s="2">
        <v>65.5</v>
      </c>
      <c r="N208" t="s">
        <v>357</v>
      </c>
      <c r="P208">
        <v>1.37</v>
      </c>
      <c r="Q208" t="s">
        <v>290</v>
      </c>
    </row>
    <row r="209" spans="1:21" x14ac:dyDescent="0.2">
      <c r="A209" t="s">
        <v>366</v>
      </c>
      <c r="B209" t="str">
        <f t="shared" si="4"/>
        <v>98.5N 68E</v>
      </c>
      <c r="F209">
        <v>209</v>
      </c>
      <c r="G209" t="s">
        <v>304</v>
      </c>
      <c r="H209" s="2">
        <v>98.5</v>
      </c>
      <c r="I209" s="2">
        <v>68</v>
      </c>
      <c r="N209" t="s">
        <v>356</v>
      </c>
      <c r="P209">
        <v>1.85</v>
      </c>
      <c r="Q209" t="s">
        <v>290</v>
      </c>
    </row>
    <row r="210" spans="1:21" x14ac:dyDescent="0.2">
      <c r="A210" t="s">
        <v>366</v>
      </c>
      <c r="B210" t="str">
        <f t="shared" si="4"/>
        <v>97N 65.5E</v>
      </c>
      <c r="F210">
        <v>210</v>
      </c>
      <c r="G210" t="s">
        <v>236</v>
      </c>
      <c r="H210" s="2">
        <v>97</v>
      </c>
      <c r="I210" s="2">
        <v>65.5</v>
      </c>
      <c r="N210" t="s">
        <v>357</v>
      </c>
      <c r="P210">
        <v>1.53</v>
      </c>
      <c r="Q210" t="s">
        <v>290</v>
      </c>
    </row>
    <row r="211" spans="1:21" x14ac:dyDescent="0.2">
      <c r="A211" t="s">
        <v>366</v>
      </c>
      <c r="B211" t="str">
        <f t="shared" si="4"/>
        <v>92.5N 68E</v>
      </c>
      <c r="F211">
        <v>211</v>
      </c>
      <c r="G211" t="s">
        <v>142</v>
      </c>
      <c r="H211">
        <v>92.5</v>
      </c>
      <c r="I211">
        <v>68</v>
      </c>
      <c r="J211" t="s">
        <v>17</v>
      </c>
      <c r="K211" t="s">
        <v>17</v>
      </c>
      <c r="N211" t="s">
        <v>353</v>
      </c>
      <c r="P211">
        <v>1.83</v>
      </c>
      <c r="T211" t="s">
        <v>373</v>
      </c>
      <c r="U211" t="s">
        <v>373</v>
      </c>
    </row>
    <row r="212" spans="1:21" x14ac:dyDescent="0.2">
      <c r="A212" t="s">
        <v>366</v>
      </c>
      <c r="B212" t="str">
        <f t="shared" si="4"/>
        <v>92.5N 68E</v>
      </c>
      <c r="F212">
        <v>212</v>
      </c>
      <c r="G212" t="s">
        <v>143</v>
      </c>
      <c r="H212">
        <v>92.5</v>
      </c>
      <c r="I212">
        <v>68</v>
      </c>
      <c r="J212" t="s">
        <v>17</v>
      </c>
      <c r="K212" t="s">
        <v>17</v>
      </c>
      <c r="N212" t="s">
        <v>358</v>
      </c>
      <c r="P212">
        <v>1.84</v>
      </c>
    </row>
    <row r="213" spans="1:21" x14ac:dyDescent="0.2">
      <c r="A213" t="s">
        <v>366</v>
      </c>
      <c r="B213" t="str">
        <f t="shared" si="4"/>
        <v>97N 65.5E</v>
      </c>
      <c r="F213">
        <v>213</v>
      </c>
      <c r="G213" t="s">
        <v>144</v>
      </c>
      <c r="H213" s="2">
        <v>97</v>
      </c>
      <c r="I213" s="2">
        <v>65.5</v>
      </c>
      <c r="J213" t="s">
        <v>17</v>
      </c>
      <c r="K213" t="s">
        <v>17</v>
      </c>
      <c r="N213" t="s">
        <v>356</v>
      </c>
      <c r="P213">
        <v>1.65</v>
      </c>
    </row>
    <row r="214" spans="1:21" x14ac:dyDescent="0.2">
      <c r="A214" t="s">
        <v>366</v>
      </c>
      <c r="B214" t="str">
        <f t="shared" si="4"/>
        <v>97N 65.5E</v>
      </c>
      <c r="F214">
        <v>214</v>
      </c>
      <c r="G214" t="s">
        <v>145</v>
      </c>
      <c r="H214" s="2">
        <v>97</v>
      </c>
      <c r="I214" s="2">
        <v>65.5</v>
      </c>
      <c r="J214" t="s">
        <v>134</v>
      </c>
      <c r="N214" t="s">
        <v>356</v>
      </c>
      <c r="P214">
        <v>1.67</v>
      </c>
    </row>
    <row r="215" spans="1:21" x14ac:dyDescent="0.2">
      <c r="A215" t="s">
        <v>366</v>
      </c>
      <c r="B215" t="str">
        <f t="shared" si="4"/>
        <v>97N 65.5E</v>
      </c>
      <c r="F215">
        <v>215</v>
      </c>
      <c r="G215" t="s">
        <v>146</v>
      </c>
      <c r="H215" s="2">
        <v>97</v>
      </c>
      <c r="I215" s="2">
        <v>65.5</v>
      </c>
      <c r="J215" t="s">
        <v>17</v>
      </c>
      <c r="K215" t="s">
        <v>17</v>
      </c>
      <c r="N215" t="s">
        <v>356</v>
      </c>
      <c r="P215">
        <v>1.64</v>
      </c>
    </row>
    <row r="216" spans="1:21" x14ac:dyDescent="0.2">
      <c r="A216" t="s">
        <v>366</v>
      </c>
      <c r="B216" t="str">
        <f t="shared" si="4"/>
        <v>95.5N 68E</v>
      </c>
      <c r="F216">
        <v>216</v>
      </c>
      <c r="G216" t="s">
        <v>147</v>
      </c>
      <c r="H216">
        <v>95.5</v>
      </c>
      <c r="I216">
        <v>68</v>
      </c>
      <c r="N216" t="s">
        <v>353</v>
      </c>
      <c r="P216">
        <v>1.85</v>
      </c>
    </row>
    <row r="217" spans="1:21" x14ac:dyDescent="0.2">
      <c r="A217" t="s">
        <v>366</v>
      </c>
      <c r="B217" t="str">
        <f t="shared" si="4"/>
        <v>97N 65.5E</v>
      </c>
      <c r="F217">
        <v>217</v>
      </c>
      <c r="G217" t="s">
        <v>148</v>
      </c>
      <c r="H217" s="2">
        <v>97</v>
      </c>
      <c r="I217" s="2">
        <v>65.5</v>
      </c>
      <c r="J217" t="s">
        <v>17</v>
      </c>
      <c r="K217" t="s">
        <v>17</v>
      </c>
      <c r="N217" t="s">
        <v>356</v>
      </c>
      <c r="P217">
        <v>1.67</v>
      </c>
    </row>
    <row r="218" spans="1:21" x14ac:dyDescent="0.2">
      <c r="A218" t="s">
        <v>366</v>
      </c>
      <c r="B218" t="str">
        <f t="shared" si="4"/>
        <v>92.5N 68E</v>
      </c>
      <c r="F218">
        <v>218</v>
      </c>
      <c r="G218" t="s">
        <v>149</v>
      </c>
      <c r="H218">
        <v>92.5</v>
      </c>
      <c r="I218">
        <v>68</v>
      </c>
      <c r="J218" t="s">
        <v>17</v>
      </c>
      <c r="K218" t="s">
        <v>17</v>
      </c>
      <c r="N218" t="s">
        <v>353</v>
      </c>
      <c r="P218">
        <v>1.9</v>
      </c>
      <c r="T218" t="s">
        <v>373</v>
      </c>
      <c r="U218" t="s">
        <v>373</v>
      </c>
    </row>
    <row r="219" spans="1:21" x14ac:dyDescent="0.2">
      <c r="A219" t="s">
        <v>366</v>
      </c>
      <c r="B219" t="str">
        <f t="shared" si="4"/>
        <v>92.5N 68E</v>
      </c>
      <c r="F219">
        <v>219</v>
      </c>
      <c r="G219" t="s">
        <v>150</v>
      </c>
      <c r="H219">
        <v>92.5</v>
      </c>
      <c r="I219">
        <v>68</v>
      </c>
      <c r="J219" t="s">
        <v>17</v>
      </c>
      <c r="K219" t="s">
        <v>17</v>
      </c>
      <c r="N219" t="s">
        <v>353</v>
      </c>
      <c r="P219">
        <v>1.95</v>
      </c>
      <c r="T219" t="s">
        <v>373</v>
      </c>
      <c r="U219" t="s">
        <v>373</v>
      </c>
    </row>
    <row r="220" spans="1:21" x14ac:dyDescent="0.2">
      <c r="A220" t="s">
        <v>366</v>
      </c>
      <c r="B220" t="str">
        <f t="shared" si="4"/>
        <v>92.5N 68E</v>
      </c>
      <c r="F220">
        <v>220</v>
      </c>
      <c r="G220" t="s">
        <v>151</v>
      </c>
      <c r="H220">
        <v>92.5</v>
      </c>
      <c r="I220">
        <v>68</v>
      </c>
      <c r="J220" t="s">
        <v>17</v>
      </c>
      <c r="K220" t="s">
        <v>17</v>
      </c>
      <c r="N220" t="s">
        <v>353</v>
      </c>
      <c r="P220">
        <v>1.87</v>
      </c>
      <c r="T220" t="s">
        <v>373</v>
      </c>
      <c r="U220" t="s">
        <v>373</v>
      </c>
    </row>
    <row r="221" spans="1:21" x14ac:dyDescent="0.2">
      <c r="A221" t="s">
        <v>366</v>
      </c>
      <c r="B221" t="str">
        <f t="shared" si="4"/>
        <v>94N 63E</v>
      </c>
      <c r="F221">
        <v>221</v>
      </c>
      <c r="G221" t="s">
        <v>144</v>
      </c>
      <c r="H221">
        <v>94</v>
      </c>
      <c r="I221">
        <v>63</v>
      </c>
      <c r="J221" t="s">
        <v>134</v>
      </c>
      <c r="N221" t="s">
        <v>356</v>
      </c>
      <c r="P221">
        <v>1.59</v>
      </c>
      <c r="Q221" t="s">
        <v>290</v>
      </c>
    </row>
    <row r="222" spans="1:21" x14ac:dyDescent="0.2">
      <c r="A222" t="s">
        <v>366</v>
      </c>
      <c r="B222" t="str">
        <f t="shared" si="4"/>
        <v>94N 63E</v>
      </c>
      <c r="F222">
        <v>222</v>
      </c>
      <c r="G222" t="s">
        <v>152</v>
      </c>
      <c r="H222">
        <v>94</v>
      </c>
      <c r="I222">
        <v>63</v>
      </c>
      <c r="J222" t="s">
        <v>25</v>
      </c>
      <c r="K222" t="s">
        <v>12</v>
      </c>
      <c r="N222" t="s">
        <v>356</v>
      </c>
      <c r="P222">
        <v>1.6</v>
      </c>
    </row>
    <row r="223" spans="1:21" x14ac:dyDescent="0.2">
      <c r="A223" t="s">
        <v>366</v>
      </c>
      <c r="B223" t="str">
        <f t="shared" si="4"/>
        <v>97N 65.5E</v>
      </c>
      <c r="F223">
        <v>223</v>
      </c>
      <c r="G223" t="s">
        <v>61</v>
      </c>
      <c r="H223" s="2">
        <v>97</v>
      </c>
      <c r="I223" s="2">
        <v>65.5</v>
      </c>
      <c r="J223" t="s">
        <v>17</v>
      </c>
      <c r="K223" t="s">
        <v>17</v>
      </c>
      <c r="N223" t="s">
        <v>357</v>
      </c>
      <c r="P223">
        <v>1.61</v>
      </c>
    </row>
    <row r="224" spans="1:21" x14ac:dyDescent="0.2">
      <c r="A224" t="s">
        <v>366</v>
      </c>
      <c r="B224" t="str">
        <f t="shared" si="4"/>
        <v>92.5N 68E</v>
      </c>
      <c r="F224">
        <v>224</v>
      </c>
      <c r="G224" t="s">
        <v>19</v>
      </c>
      <c r="H224">
        <v>92.5</v>
      </c>
      <c r="I224">
        <v>68</v>
      </c>
      <c r="J224" t="s">
        <v>17</v>
      </c>
      <c r="K224" t="s">
        <v>17</v>
      </c>
      <c r="N224" t="s">
        <v>357</v>
      </c>
      <c r="P224">
        <v>2.0099999999999998</v>
      </c>
    </row>
    <row r="225" spans="1:17" x14ac:dyDescent="0.2">
      <c r="A225" t="s">
        <v>366</v>
      </c>
      <c r="B225" t="str">
        <f t="shared" si="4"/>
        <v>92.5N 68E</v>
      </c>
      <c r="F225">
        <v>225</v>
      </c>
      <c r="G225" t="s">
        <v>153</v>
      </c>
      <c r="H225">
        <v>92.5</v>
      </c>
      <c r="I225">
        <v>68</v>
      </c>
      <c r="J225" t="s">
        <v>17</v>
      </c>
      <c r="K225" t="s">
        <v>17</v>
      </c>
      <c r="N225" t="s">
        <v>353</v>
      </c>
      <c r="P225">
        <v>2.1</v>
      </c>
    </row>
    <row r="226" spans="1:17" x14ac:dyDescent="0.2">
      <c r="A226" t="s">
        <v>366</v>
      </c>
      <c r="B226" t="str">
        <f t="shared" si="4"/>
        <v>97N 65.5E</v>
      </c>
      <c r="F226">
        <v>226</v>
      </c>
      <c r="G226" t="s">
        <v>154</v>
      </c>
      <c r="H226" s="2">
        <v>97</v>
      </c>
      <c r="I226" s="2">
        <v>65.5</v>
      </c>
      <c r="J226" t="s">
        <v>29</v>
      </c>
      <c r="K226" t="s">
        <v>29</v>
      </c>
      <c r="N226" t="s">
        <v>358</v>
      </c>
      <c r="P226">
        <v>1.77</v>
      </c>
    </row>
    <row r="227" spans="1:17" x14ac:dyDescent="0.2">
      <c r="A227" t="s">
        <v>366</v>
      </c>
      <c r="B227" t="str">
        <f t="shared" si="4"/>
        <v>94N 63E</v>
      </c>
      <c r="F227">
        <v>227</v>
      </c>
      <c r="G227" t="s">
        <v>148</v>
      </c>
      <c r="H227">
        <v>94</v>
      </c>
      <c r="I227">
        <v>63</v>
      </c>
      <c r="J227" t="s">
        <v>29</v>
      </c>
      <c r="K227" t="s">
        <v>29</v>
      </c>
      <c r="N227" t="s">
        <v>356</v>
      </c>
      <c r="P227">
        <v>1.59</v>
      </c>
    </row>
    <row r="228" spans="1:17" x14ac:dyDescent="0.2">
      <c r="A228" t="s">
        <v>366</v>
      </c>
      <c r="B228" t="str">
        <f t="shared" si="4"/>
        <v>92.5N 68E</v>
      </c>
      <c r="F228">
        <v>228</v>
      </c>
      <c r="G228" t="s">
        <v>155</v>
      </c>
      <c r="H228">
        <v>92.5</v>
      </c>
      <c r="I228">
        <v>68</v>
      </c>
      <c r="J228" t="s">
        <v>17</v>
      </c>
      <c r="K228" t="s">
        <v>17</v>
      </c>
      <c r="N228" t="s">
        <v>353</v>
      </c>
      <c r="P228">
        <v>2.11</v>
      </c>
    </row>
    <row r="229" spans="1:17" x14ac:dyDescent="0.2">
      <c r="A229" t="s">
        <v>366</v>
      </c>
      <c r="B229" t="str">
        <f t="shared" si="4"/>
        <v>94N 63E</v>
      </c>
      <c r="F229">
        <v>229</v>
      </c>
      <c r="G229" t="s">
        <v>32</v>
      </c>
      <c r="H229">
        <v>94</v>
      </c>
      <c r="I229">
        <v>63</v>
      </c>
      <c r="J229" t="s">
        <v>17</v>
      </c>
      <c r="K229" t="s">
        <v>17</v>
      </c>
      <c r="N229" t="s">
        <v>356</v>
      </c>
      <c r="P229">
        <v>1.59</v>
      </c>
    </row>
    <row r="230" spans="1:17" x14ac:dyDescent="0.2">
      <c r="A230" t="s">
        <v>366</v>
      </c>
      <c r="B230" t="str">
        <f t="shared" si="4"/>
        <v>92.5N 68E</v>
      </c>
      <c r="F230">
        <v>230</v>
      </c>
      <c r="G230" t="s">
        <v>305</v>
      </c>
      <c r="H230">
        <v>92.5</v>
      </c>
      <c r="I230">
        <v>68</v>
      </c>
      <c r="J230" t="s">
        <v>17</v>
      </c>
      <c r="K230" t="s">
        <v>17</v>
      </c>
      <c r="N230" t="s">
        <v>353</v>
      </c>
      <c r="P230">
        <v>2.21</v>
      </c>
      <c r="Q230" t="s">
        <v>290</v>
      </c>
    </row>
    <row r="231" spans="1:17" x14ac:dyDescent="0.2">
      <c r="A231" t="s">
        <v>366</v>
      </c>
      <c r="B231" t="str">
        <f t="shared" si="4"/>
        <v>97N 65.5E</v>
      </c>
      <c r="F231">
        <v>231</v>
      </c>
      <c r="G231" t="s">
        <v>32</v>
      </c>
      <c r="H231">
        <v>97</v>
      </c>
      <c r="I231" s="2">
        <v>65.5</v>
      </c>
      <c r="J231" t="s">
        <v>29</v>
      </c>
      <c r="K231" t="s">
        <v>29</v>
      </c>
      <c r="N231" t="s">
        <v>356</v>
      </c>
      <c r="P231">
        <v>1.77</v>
      </c>
    </row>
    <row r="232" spans="1:17" x14ac:dyDescent="0.2">
      <c r="A232" t="s">
        <v>366</v>
      </c>
      <c r="B232" t="str">
        <f t="shared" si="4"/>
        <v>94N 63E</v>
      </c>
      <c r="F232">
        <v>232</v>
      </c>
      <c r="G232" t="s">
        <v>156</v>
      </c>
      <c r="H232">
        <v>94</v>
      </c>
      <c r="I232">
        <v>63</v>
      </c>
      <c r="J232" t="s">
        <v>134</v>
      </c>
      <c r="N232" t="s">
        <v>356</v>
      </c>
      <c r="P232">
        <v>1.58</v>
      </c>
    </row>
    <row r="233" spans="1:17" x14ac:dyDescent="0.2">
      <c r="A233" t="s">
        <v>366</v>
      </c>
      <c r="B233" t="str">
        <f t="shared" si="4"/>
        <v>92.5N 68E</v>
      </c>
      <c r="F233">
        <v>233</v>
      </c>
      <c r="G233" t="s">
        <v>157</v>
      </c>
      <c r="H233">
        <v>92.5</v>
      </c>
      <c r="I233">
        <v>68</v>
      </c>
      <c r="J233" t="s">
        <v>17</v>
      </c>
      <c r="K233" t="s">
        <v>17</v>
      </c>
      <c r="N233" t="s">
        <v>356</v>
      </c>
      <c r="P233">
        <v>2.02</v>
      </c>
    </row>
    <row r="234" spans="1:17" x14ac:dyDescent="0.2">
      <c r="A234" t="s">
        <v>366</v>
      </c>
      <c r="B234" t="str">
        <f t="shared" si="4"/>
        <v>97N 65.5E</v>
      </c>
      <c r="F234">
        <v>234</v>
      </c>
      <c r="G234" t="s">
        <v>158</v>
      </c>
      <c r="H234">
        <v>97</v>
      </c>
      <c r="I234">
        <v>65.5</v>
      </c>
      <c r="J234" t="s">
        <v>29</v>
      </c>
      <c r="K234" t="s">
        <v>29</v>
      </c>
      <c r="N234" t="s">
        <v>358</v>
      </c>
      <c r="P234">
        <v>1.72</v>
      </c>
    </row>
    <row r="235" spans="1:17" x14ac:dyDescent="0.2">
      <c r="A235" t="s">
        <v>366</v>
      </c>
      <c r="B235" t="str">
        <f t="shared" si="4"/>
        <v>94N 63E</v>
      </c>
      <c r="F235">
        <v>235</v>
      </c>
      <c r="G235" t="s">
        <v>145</v>
      </c>
      <c r="H235">
        <v>94</v>
      </c>
      <c r="I235">
        <v>63</v>
      </c>
      <c r="J235" t="s">
        <v>43</v>
      </c>
      <c r="N235" t="s">
        <v>356</v>
      </c>
      <c r="P235">
        <v>1.58</v>
      </c>
    </row>
    <row r="236" spans="1:17" x14ac:dyDescent="0.2">
      <c r="A236" t="s">
        <v>366</v>
      </c>
      <c r="B236" t="str">
        <f t="shared" si="4"/>
        <v>92.5N 68E</v>
      </c>
      <c r="F236">
        <v>236</v>
      </c>
      <c r="G236" t="s">
        <v>159</v>
      </c>
      <c r="H236">
        <v>92.5</v>
      </c>
      <c r="I236">
        <v>68</v>
      </c>
      <c r="J236" t="s">
        <v>134</v>
      </c>
      <c r="N236" t="s">
        <v>353</v>
      </c>
      <c r="P236">
        <v>2.04</v>
      </c>
    </row>
    <row r="237" spans="1:17" x14ac:dyDescent="0.2">
      <c r="A237" t="s">
        <v>366</v>
      </c>
      <c r="B237" t="str">
        <f t="shared" si="4"/>
        <v>94N 63E</v>
      </c>
      <c r="F237">
        <v>237</v>
      </c>
      <c r="G237" t="s">
        <v>160</v>
      </c>
      <c r="H237">
        <v>94</v>
      </c>
      <c r="I237">
        <v>63</v>
      </c>
      <c r="J237" t="s">
        <v>134</v>
      </c>
      <c r="N237" t="s">
        <v>356</v>
      </c>
      <c r="P237">
        <v>1.73</v>
      </c>
    </row>
    <row r="238" spans="1:17" x14ac:dyDescent="0.2">
      <c r="A238" t="s">
        <v>366</v>
      </c>
      <c r="B238" t="str">
        <f t="shared" si="4"/>
        <v>92.5N 68E</v>
      </c>
      <c r="F238">
        <v>238</v>
      </c>
      <c r="G238" t="s">
        <v>161</v>
      </c>
      <c r="H238">
        <v>92.5</v>
      </c>
      <c r="I238">
        <v>68</v>
      </c>
      <c r="J238" t="s">
        <v>17</v>
      </c>
      <c r="K238" t="s">
        <v>17</v>
      </c>
      <c r="N238" t="s">
        <v>353</v>
      </c>
      <c r="P238">
        <v>1.78</v>
      </c>
    </row>
    <row r="239" spans="1:17" x14ac:dyDescent="0.2">
      <c r="A239" t="s">
        <v>366</v>
      </c>
      <c r="B239" t="str">
        <f t="shared" si="4"/>
        <v>92.5N 68E</v>
      </c>
      <c r="F239">
        <v>239</v>
      </c>
      <c r="G239" t="s">
        <v>162</v>
      </c>
      <c r="H239">
        <v>92.5</v>
      </c>
      <c r="I239">
        <v>68</v>
      </c>
      <c r="J239" t="s">
        <v>17</v>
      </c>
      <c r="K239" t="s">
        <v>17</v>
      </c>
      <c r="N239" t="s">
        <v>353</v>
      </c>
      <c r="P239">
        <v>2.0099999999999998</v>
      </c>
    </row>
    <row r="240" spans="1:17" x14ac:dyDescent="0.2">
      <c r="A240" t="s">
        <v>366</v>
      </c>
      <c r="B240" t="str">
        <f t="shared" si="4"/>
        <v>97N 65.5E</v>
      </c>
      <c r="F240">
        <v>240</v>
      </c>
      <c r="G240" t="s">
        <v>48</v>
      </c>
      <c r="H240">
        <v>97</v>
      </c>
      <c r="I240">
        <v>65.5</v>
      </c>
      <c r="J240" t="s">
        <v>83</v>
      </c>
      <c r="N240" t="s">
        <v>357</v>
      </c>
      <c r="P240">
        <v>1.76</v>
      </c>
    </row>
    <row r="241" spans="1:21" x14ac:dyDescent="0.2">
      <c r="A241" t="s">
        <v>366</v>
      </c>
      <c r="B241" t="str">
        <f t="shared" si="4"/>
        <v>94N 63E</v>
      </c>
      <c r="F241">
        <v>241</v>
      </c>
      <c r="G241" t="s">
        <v>163</v>
      </c>
      <c r="H241">
        <v>94</v>
      </c>
      <c r="I241">
        <v>63</v>
      </c>
      <c r="J241" t="s">
        <v>42</v>
      </c>
      <c r="N241" t="s">
        <v>356</v>
      </c>
      <c r="P241">
        <v>1.74</v>
      </c>
      <c r="S241" t="s">
        <v>371</v>
      </c>
      <c r="U241" t="s">
        <v>371</v>
      </c>
    </row>
    <row r="242" spans="1:21" x14ac:dyDescent="0.2">
      <c r="A242" t="s">
        <v>366</v>
      </c>
      <c r="B242" t="str">
        <f t="shared" si="4"/>
        <v>92.5N 68E</v>
      </c>
      <c r="F242">
        <v>242</v>
      </c>
      <c r="G242" t="s">
        <v>164</v>
      </c>
      <c r="H242">
        <v>92.5</v>
      </c>
      <c r="I242">
        <v>68</v>
      </c>
      <c r="J242" t="s">
        <v>83</v>
      </c>
      <c r="N242" t="s">
        <v>353</v>
      </c>
      <c r="P242">
        <v>2.14</v>
      </c>
    </row>
    <row r="243" spans="1:21" x14ac:dyDescent="0.2">
      <c r="A243" t="s">
        <v>366</v>
      </c>
      <c r="B243" t="str">
        <f t="shared" si="4"/>
        <v>97N 65.5E</v>
      </c>
      <c r="F243">
        <v>243</v>
      </c>
      <c r="G243" t="s">
        <v>160</v>
      </c>
      <c r="H243">
        <v>97</v>
      </c>
      <c r="I243">
        <v>65.5</v>
      </c>
      <c r="J243" t="s">
        <v>29</v>
      </c>
      <c r="K243" t="s">
        <v>29</v>
      </c>
      <c r="N243" t="s">
        <v>356</v>
      </c>
      <c r="P243">
        <v>1.87</v>
      </c>
    </row>
    <row r="244" spans="1:21" x14ac:dyDescent="0.2">
      <c r="A244" t="s">
        <v>366</v>
      </c>
      <c r="B244" t="str">
        <f t="shared" ref="B244:B245" si="5">_xlfn.CONCAT(H244, "N ", I244, "E")</f>
        <v>94N 63E</v>
      </c>
      <c r="F244">
        <v>244</v>
      </c>
      <c r="G244" t="s">
        <v>165</v>
      </c>
      <c r="H244">
        <v>94</v>
      </c>
      <c r="I244">
        <v>63</v>
      </c>
      <c r="J244" t="s">
        <v>17</v>
      </c>
      <c r="K244" t="s">
        <v>17</v>
      </c>
      <c r="N244" t="s">
        <v>356</v>
      </c>
      <c r="P244">
        <v>1.76</v>
      </c>
    </row>
    <row r="245" spans="1:21" x14ac:dyDescent="0.2">
      <c r="A245" t="s">
        <v>366</v>
      </c>
      <c r="B245" t="str">
        <f t="shared" si="5"/>
        <v>94N 63E</v>
      </c>
      <c r="F245">
        <v>245</v>
      </c>
      <c r="G245" t="s">
        <v>61</v>
      </c>
      <c r="H245">
        <v>94</v>
      </c>
      <c r="I245">
        <v>63</v>
      </c>
      <c r="J245" t="s">
        <v>17</v>
      </c>
      <c r="K245" t="s">
        <v>17</v>
      </c>
      <c r="N245" t="s">
        <v>357</v>
      </c>
      <c r="P245">
        <v>1.61</v>
      </c>
    </row>
    <row r="246" spans="1:21" x14ac:dyDescent="0.2">
      <c r="A246" t="s">
        <v>366</v>
      </c>
      <c r="B246" t="str">
        <f>_xlfn.CONCAT("Room ", C246, ", Trench ", D246)</f>
        <v>Room 104, Trench A</v>
      </c>
      <c r="C246">
        <v>104</v>
      </c>
      <c r="D246" t="s">
        <v>168</v>
      </c>
      <c r="F246">
        <v>246</v>
      </c>
      <c r="G246" t="s">
        <v>204</v>
      </c>
      <c r="N246" t="s">
        <v>354</v>
      </c>
      <c r="R246" t="s">
        <v>282</v>
      </c>
    </row>
    <row r="247" spans="1:21" x14ac:dyDescent="0.2">
      <c r="A247" t="s">
        <v>366</v>
      </c>
      <c r="B247" t="str">
        <f>_xlfn.CONCAT("Room ", C247, ", Trench ", D247)</f>
        <v>Room 101, Trench B</v>
      </c>
      <c r="C247">
        <v>101</v>
      </c>
      <c r="D247" t="s">
        <v>172</v>
      </c>
      <c r="F247">
        <v>247</v>
      </c>
      <c r="G247" t="s">
        <v>204</v>
      </c>
      <c r="N247" t="s">
        <v>354</v>
      </c>
    </row>
    <row r="248" spans="1:21" x14ac:dyDescent="0.2">
      <c r="A248" t="s">
        <v>366</v>
      </c>
      <c r="B248" t="str">
        <f>_xlfn.CONCAT("Room ", C248, ", Trench ", D248)</f>
        <v>Room 101, Trench B</v>
      </c>
      <c r="C248">
        <v>101</v>
      </c>
      <c r="D248" t="s">
        <v>172</v>
      </c>
      <c r="F248">
        <v>248</v>
      </c>
      <c r="G248" t="s">
        <v>204</v>
      </c>
      <c r="N248" t="s">
        <v>354</v>
      </c>
    </row>
    <row r="249" spans="1:21" x14ac:dyDescent="0.2">
      <c r="A249" t="s">
        <v>366</v>
      </c>
      <c r="B249" t="str">
        <f t="shared" ref="B249:B250" si="6">_xlfn.CONCAT(H249, "N ", I249, "E")</f>
        <v>97N 65.5E</v>
      </c>
      <c r="F249">
        <v>249</v>
      </c>
      <c r="G249" t="s">
        <v>166</v>
      </c>
      <c r="H249">
        <v>97</v>
      </c>
      <c r="I249">
        <v>65.5</v>
      </c>
      <c r="J249" t="s">
        <v>29</v>
      </c>
      <c r="K249" t="s">
        <v>29</v>
      </c>
      <c r="N249" t="s">
        <v>356</v>
      </c>
    </row>
    <row r="250" spans="1:21" x14ac:dyDescent="0.2">
      <c r="A250" t="s">
        <v>366</v>
      </c>
      <c r="B250" t="str">
        <f t="shared" si="6"/>
        <v>94N 65E</v>
      </c>
      <c r="F250">
        <v>250</v>
      </c>
      <c r="G250" t="s">
        <v>167</v>
      </c>
      <c r="H250">
        <v>94</v>
      </c>
      <c r="I250">
        <v>65</v>
      </c>
      <c r="J250" t="s">
        <v>17</v>
      </c>
      <c r="K250" t="s">
        <v>17</v>
      </c>
      <c r="N250" t="s">
        <v>358</v>
      </c>
    </row>
    <row r="251" spans="1:21" x14ac:dyDescent="0.2">
      <c r="A251" t="s">
        <v>366</v>
      </c>
      <c r="B251" t="str">
        <f>_xlfn.CONCAT("Room ", C251, ", Trench ", D251)</f>
        <v>Room 101, Trench A</v>
      </c>
      <c r="C251">
        <v>101</v>
      </c>
      <c r="D251" t="s">
        <v>168</v>
      </c>
      <c r="F251">
        <v>251</v>
      </c>
      <c r="G251" t="s">
        <v>61</v>
      </c>
      <c r="J251" t="s">
        <v>17</v>
      </c>
      <c r="K251" t="s">
        <v>17</v>
      </c>
      <c r="N251" t="s">
        <v>357</v>
      </c>
      <c r="P251">
        <v>-2.36</v>
      </c>
    </row>
    <row r="252" spans="1:21" x14ac:dyDescent="0.2">
      <c r="A252" t="s">
        <v>366</v>
      </c>
      <c r="B252" t="str">
        <f>_xlfn.CONCAT("Room ", C252, ", Trench ", D252)</f>
        <v>Room 101, Trench A</v>
      </c>
      <c r="C252">
        <v>101</v>
      </c>
      <c r="D252" t="s">
        <v>168</v>
      </c>
      <c r="F252">
        <v>252</v>
      </c>
      <c r="G252" t="s">
        <v>48</v>
      </c>
      <c r="J252" t="s">
        <v>63</v>
      </c>
      <c r="K252" t="s">
        <v>63</v>
      </c>
      <c r="N252" t="s">
        <v>357</v>
      </c>
      <c r="P252">
        <v>-2.3199999999999998</v>
      </c>
      <c r="S252" t="s">
        <v>371</v>
      </c>
      <c r="T252" t="s">
        <v>373</v>
      </c>
      <c r="U252" t="s">
        <v>375</v>
      </c>
    </row>
    <row r="253" spans="1:21" x14ac:dyDescent="0.2">
      <c r="A253" t="s">
        <v>366</v>
      </c>
      <c r="F253">
        <v>253</v>
      </c>
      <c r="Q253" t="s">
        <v>290</v>
      </c>
    </row>
    <row r="254" spans="1:21" x14ac:dyDescent="0.2">
      <c r="A254" t="s">
        <v>366</v>
      </c>
      <c r="B254" t="str">
        <f t="shared" ref="B254:B256" si="7">_xlfn.CONCAT(H254, "N ", I254, "E")</f>
        <v>94N 63E</v>
      </c>
      <c r="F254">
        <v>254</v>
      </c>
      <c r="G254" t="s">
        <v>169</v>
      </c>
      <c r="H254">
        <v>94</v>
      </c>
      <c r="I254">
        <v>63</v>
      </c>
      <c r="J254" t="s">
        <v>42</v>
      </c>
      <c r="N254" t="s">
        <v>353</v>
      </c>
    </row>
    <row r="255" spans="1:21" x14ac:dyDescent="0.2">
      <c r="A255" t="s">
        <v>366</v>
      </c>
      <c r="B255" t="str">
        <f t="shared" si="7"/>
        <v>94N 63E</v>
      </c>
      <c r="F255">
        <v>255</v>
      </c>
      <c r="G255" t="s">
        <v>170</v>
      </c>
      <c r="H255">
        <v>94</v>
      </c>
      <c r="I255">
        <v>63</v>
      </c>
      <c r="J255" t="s">
        <v>25</v>
      </c>
      <c r="K255" t="s">
        <v>12</v>
      </c>
      <c r="N255" t="s">
        <v>356</v>
      </c>
    </row>
    <row r="256" spans="1:21" x14ac:dyDescent="0.2">
      <c r="A256" t="s">
        <v>366</v>
      </c>
      <c r="B256" t="str">
        <f t="shared" si="7"/>
        <v>94N 63E</v>
      </c>
      <c r="F256">
        <v>256</v>
      </c>
      <c r="G256" t="s">
        <v>171</v>
      </c>
      <c r="H256">
        <v>94</v>
      </c>
      <c r="I256">
        <v>63</v>
      </c>
      <c r="J256" t="s">
        <v>17</v>
      </c>
      <c r="K256" t="s">
        <v>17</v>
      </c>
      <c r="N256" t="s">
        <v>356</v>
      </c>
    </row>
    <row r="257" spans="1:21" x14ac:dyDescent="0.2">
      <c r="A257" t="s">
        <v>366</v>
      </c>
      <c r="B257" t="str">
        <f>_xlfn.CONCAT("Room ", C257, ", Trench ", D257)</f>
        <v>Room 101, Trench B</v>
      </c>
      <c r="C257">
        <v>101</v>
      </c>
      <c r="D257" t="s">
        <v>172</v>
      </c>
      <c r="F257">
        <v>257</v>
      </c>
      <c r="G257" t="s">
        <v>173</v>
      </c>
      <c r="J257" t="s">
        <v>63</v>
      </c>
      <c r="K257" t="s">
        <v>63</v>
      </c>
      <c r="N257" t="s">
        <v>354</v>
      </c>
      <c r="P257">
        <v>-2.14</v>
      </c>
    </row>
    <row r="258" spans="1:21" x14ac:dyDescent="0.2">
      <c r="A258" t="s">
        <v>366</v>
      </c>
      <c r="F258">
        <v>258</v>
      </c>
      <c r="Q258" t="s">
        <v>290</v>
      </c>
    </row>
    <row r="259" spans="1:21" x14ac:dyDescent="0.2">
      <c r="A259" t="s">
        <v>366</v>
      </c>
      <c r="B259" t="str">
        <f>_xlfn.CONCAT(H259, "N ", I259, "E")</f>
        <v>94N 63E</v>
      </c>
      <c r="F259">
        <v>259</v>
      </c>
      <c r="G259" t="s">
        <v>48</v>
      </c>
      <c r="H259">
        <v>94</v>
      </c>
      <c r="I259">
        <v>63</v>
      </c>
      <c r="J259" t="s">
        <v>63</v>
      </c>
      <c r="K259" t="s">
        <v>63</v>
      </c>
      <c r="N259" t="s">
        <v>357</v>
      </c>
      <c r="S259" t="s">
        <v>371</v>
      </c>
      <c r="U259" t="s">
        <v>371</v>
      </c>
    </row>
    <row r="260" spans="1:21" x14ac:dyDescent="0.2">
      <c r="A260" t="s">
        <v>366</v>
      </c>
      <c r="B260" t="str">
        <f>_xlfn.CONCAT("Room ", C260, ", Trench ", D260)</f>
        <v>Room 101, Trench B</v>
      </c>
      <c r="C260">
        <v>101</v>
      </c>
      <c r="D260" t="s">
        <v>172</v>
      </c>
      <c r="F260">
        <v>260</v>
      </c>
      <c r="G260" t="s">
        <v>61</v>
      </c>
      <c r="J260" t="s">
        <v>63</v>
      </c>
      <c r="K260" t="s">
        <v>63</v>
      </c>
      <c r="N260" t="s">
        <v>357</v>
      </c>
      <c r="Q260" t="s">
        <v>290</v>
      </c>
    </row>
    <row r="261" spans="1:21" x14ac:dyDescent="0.2">
      <c r="A261" t="s">
        <v>366</v>
      </c>
      <c r="B261" t="str">
        <f t="shared" ref="B261:B263" si="8">_xlfn.CONCAT("Room ", C261, ", Trench ", D261)</f>
        <v>Room 101, Trench A</v>
      </c>
      <c r="C261">
        <v>101</v>
      </c>
      <c r="D261" t="s">
        <v>168</v>
      </c>
      <c r="F261">
        <v>261</v>
      </c>
      <c r="G261" t="s">
        <v>231</v>
      </c>
      <c r="N261" t="s">
        <v>357</v>
      </c>
      <c r="Q261" t="s">
        <v>290</v>
      </c>
    </row>
    <row r="262" spans="1:21" x14ac:dyDescent="0.2">
      <c r="A262" t="s">
        <v>366</v>
      </c>
      <c r="B262" t="str">
        <f t="shared" si="8"/>
        <v>Room 104, Trench A</v>
      </c>
      <c r="C262">
        <v>104</v>
      </c>
      <c r="D262" t="s">
        <v>168</v>
      </c>
      <c r="F262">
        <v>262</v>
      </c>
      <c r="G262" t="s">
        <v>146</v>
      </c>
      <c r="J262" t="s">
        <v>63</v>
      </c>
      <c r="K262" t="s">
        <v>63</v>
      </c>
      <c r="N262" t="s">
        <v>356</v>
      </c>
      <c r="P262">
        <v>-2.2400000000000002</v>
      </c>
      <c r="S262" t="s">
        <v>371</v>
      </c>
      <c r="U262" t="s">
        <v>371</v>
      </c>
    </row>
    <row r="263" spans="1:21" x14ac:dyDescent="0.2">
      <c r="A263" t="s">
        <v>366</v>
      </c>
      <c r="B263" t="str">
        <f t="shared" si="8"/>
        <v>Room 104, Trench A</v>
      </c>
      <c r="C263">
        <v>104</v>
      </c>
      <c r="D263" t="s">
        <v>168</v>
      </c>
      <c r="F263">
        <v>263</v>
      </c>
      <c r="G263" t="s">
        <v>174</v>
      </c>
      <c r="J263" t="s">
        <v>29</v>
      </c>
      <c r="K263" t="s">
        <v>29</v>
      </c>
      <c r="N263" t="s">
        <v>356</v>
      </c>
      <c r="P263">
        <v>-2.21</v>
      </c>
    </row>
    <row r="264" spans="1:21" x14ac:dyDescent="0.2">
      <c r="A264" t="s">
        <v>366</v>
      </c>
      <c r="B264" t="str">
        <f t="shared" ref="B264:B271" si="9">_xlfn.CONCAT(H264, "N ", I264, "E")</f>
        <v>94N 63E</v>
      </c>
      <c r="F264">
        <v>264</v>
      </c>
      <c r="G264" t="s">
        <v>175</v>
      </c>
      <c r="H264">
        <v>94</v>
      </c>
      <c r="I264">
        <v>63</v>
      </c>
      <c r="J264" t="s">
        <v>29</v>
      </c>
      <c r="K264" t="s">
        <v>29</v>
      </c>
      <c r="N264" t="s">
        <v>356</v>
      </c>
    </row>
    <row r="265" spans="1:21" x14ac:dyDescent="0.2">
      <c r="A265" t="s">
        <v>366</v>
      </c>
      <c r="B265" t="str">
        <f t="shared" si="9"/>
        <v>94N 63E</v>
      </c>
      <c r="F265">
        <v>265</v>
      </c>
      <c r="G265" t="s">
        <v>176</v>
      </c>
      <c r="H265">
        <v>94</v>
      </c>
      <c r="I265">
        <v>63</v>
      </c>
      <c r="J265" t="s">
        <v>83</v>
      </c>
      <c r="N265" t="s">
        <v>356</v>
      </c>
    </row>
    <row r="266" spans="1:21" x14ac:dyDescent="0.2">
      <c r="A266" t="s">
        <v>366</v>
      </c>
      <c r="B266" t="str">
        <f t="shared" si="9"/>
        <v>94N 63E</v>
      </c>
      <c r="F266">
        <v>266</v>
      </c>
      <c r="G266" t="s">
        <v>177</v>
      </c>
      <c r="H266">
        <v>94</v>
      </c>
      <c r="I266">
        <v>63</v>
      </c>
      <c r="N266" t="s">
        <v>356</v>
      </c>
    </row>
    <row r="267" spans="1:21" x14ac:dyDescent="0.2">
      <c r="A267" t="s">
        <v>366</v>
      </c>
      <c r="B267" t="str">
        <f t="shared" si="9"/>
        <v>97N 65.5E</v>
      </c>
      <c r="F267">
        <v>267</v>
      </c>
      <c r="G267" t="s">
        <v>178</v>
      </c>
      <c r="H267">
        <v>97</v>
      </c>
      <c r="I267">
        <v>65.5</v>
      </c>
      <c r="J267" t="s">
        <v>29</v>
      </c>
      <c r="K267" t="s">
        <v>29</v>
      </c>
      <c r="N267" t="s">
        <v>358</v>
      </c>
    </row>
    <row r="268" spans="1:21" x14ac:dyDescent="0.2">
      <c r="A268" t="s">
        <v>366</v>
      </c>
      <c r="B268" t="str">
        <f t="shared" si="9"/>
        <v>94N 63E</v>
      </c>
      <c r="F268">
        <v>268</v>
      </c>
      <c r="G268" t="s">
        <v>179</v>
      </c>
      <c r="H268">
        <v>94</v>
      </c>
      <c r="I268">
        <v>63</v>
      </c>
      <c r="J268" t="s">
        <v>63</v>
      </c>
      <c r="K268" t="s">
        <v>63</v>
      </c>
      <c r="N268" t="s">
        <v>356</v>
      </c>
      <c r="S268" t="s">
        <v>371</v>
      </c>
      <c r="U268" t="s">
        <v>371</v>
      </c>
    </row>
    <row r="269" spans="1:21" x14ac:dyDescent="0.2">
      <c r="A269" t="s">
        <v>366</v>
      </c>
      <c r="B269" t="str">
        <f t="shared" si="9"/>
        <v>94N 63E</v>
      </c>
      <c r="F269">
        <v>269</v>
      </c>
      <c r="G269" t="s">
        <v>180</v>
      </c>
      <c r="H269">
        <v>94</v>
      </c>
      <c r="I269">
        <v>63</v>
      </c>
      <c r="N269" t="s">
        <v>358</v>
      </c>
    </row>
    <row r="270" spans="1:21" x14ac:dyDescent="0.2">
      <c r="A270" t="s">
        <v>366</v>
      </c>
      <c r="B270" t="str">
        <f t="shared" si="9"/>
        <v>97N 65.5E</v>
      </c>
      <c r="F270">
        <v>270</v>
      </c>
      <c r="G270" t="s">
        <v>165</v>
      </c>
      <c r="H270">
        <v>97</v>
      </c>
      <c r="I270">
        <v>65.5</v>
      </c>
      <c r="J270" t="s">
        <v>29</v>
      </c>
      <c r="K270" t="s">
        <v>29</v>
      </c>
      <c r="N270" t="s">
        <v>356</v>
      </c>
    </row>
    <row r="271" spans="1:21" x14ac:dyDescent="0.2">
      <c r="A271" t="s">
        <v>366</v>
      </c>
      <c r="B271" t="str">
        <f t="shared" si="9"/>
        <v>94N 63E</v>
      </c>
      <c r="F271">
        <v>271</v>
      </c>
      <c r="G271" t="s">
        <v>181</v>
      </c>
      <c r="H271">
        <v>94</v>
      </c>
      <c r="I271">
        <v>63</v>
      </c>
      <c r="J271" t="s">
        <v>29</v>
      </c>
      <c r="K271" t="s">
        <v>29</v>
      </c>
      <c r="N271" t="s">
        <v>358</v>
      </c>
    </row>
    <row r="272" spans="1:21" x14ac:dyDescent="0.2">
      <c r="A272" t="s">
        <v>366</v>
      </c>
      <c r="F272">
        <v>272</v>
      </c>
    </row>
    <row r="273" spans="1:16" x14ac:dyDescent="0.2">
      <c r="A273" t="s">
        <v>366</v>
      </c>
      <c r="F273">
        <v>273</v>
      </c>
    </row>
    <row r="274" spans="1:16" x14ac:dyDescent="0.2">
      <c r="A274" t="s">
        <v>366</v>
      </c>
      <c r="B274" t="str">
        <f>_xlfn.CONCAT(H274, "N ", I274, "E")</f>
        <v>97N 65.5E</v>
      </c>
      <c r="F274">
        <v>274</v>
      </c>
      <c r="G274" t="s">
        <v>182</v>
      </c>
      <c r="H274">
        <v>97</v>
      </c>
      <c r="I274">
        <v>65.5</v>
      </c>
      <c r="J274" t="s">
        <v>29</v>
      </c>
      <c r="K274" t="s">
        <v>29</v>
      </c>
      <c r="N274" t="s">
        <v>358</v>
      </c>
    </row>
    <row r="275" spans="1:16" x14ac:dyDescent="0.2">
      <c r="A275" t="s">
        <v>366</v>
      </c>
      <c r="B275" t="str">
        <f t="shared" ref="B275:B284" si="10">_xlfn.CONCAT("Room ", C275, ", Trench ", D275)</f>
        <v>Room 101, Trench AB</v>
      </c>
      <c r="C275">
        <v>101</v>
      </c>
      <c r="D275" t="s">
        <v>235</v>
      </c>
      <c r="F275">
        <v>275</v>
      </c>
      <c r="G275" t="s">
        <v>183</v>
      </c>
      <c r="J275" t="s">
        <v>29</v>
      </c>
      <c r="K275" t="s">
        <v>29</v>
      </c>
      <c r="N275" t="s">
        <v>353</v>
      </c>
    </row>
    <row r="276" spans="1:16" x14ac:dyDescent="0.2">
      <c r="A276" t="s">
        <v>366</v>
      </c>
      <c r="B276" t="str">
        <f>_xlfn.CONCAT(H276, "N ", I276, "E")</f>
        <v>94N 63E</v>
      </c>
      <c r="F276">
        <v>276</v>
      </c>
      <c r="G276" t="s">
        <v>184</v>
      </c>
      <c r="H276">
        <v>94</v>
      </c>
      <c r="I276">
        <v>63</v>
      </c>
      <c r="N276" t="s">
        <v>358</v>
      </c>
    </row>
    <row r="277" spans="1:16" x14ac:dyDescent="0.2">
      <c r="A277" t="s">
        <v>366</v>
      </c>
      <c r="B277" t="str">
        <f t="shared" si="10"/>
        <v>Room 101, Trench A</v>
      </c>
      <c r="C277">
        <v>101</v>
      </c>
      <c r="D277" t="s">
        <v>168</v>
      </c>
      <c r="F277">
        <v>277</v>
      </c>
      <c r="G277" t="s">
        <v>185</v>
      </c>
      <c r="H277">
        <v>0</v>
      </c>
      <c r="I277">
        <v>0</v>
      </c>
      <c r="J277" t="s">
        <v>29</v>
      </c>
      <c r="K277" t="s">
        <v>29</v>
      </c>
      <c r="N277" t="s">
        <v>354</v>
      </c>
      <c r="P277">
        <v>-2</v>
      </c>
    </row>
    <row r="278" spans="1:16" x14ac:dyDescent="0.2">
      <c r="A278" t="s">
        <v>366</v>
      </c>
      <c r="F278">
        <v>278</v>
      </c>
    </row>
    <row r="279" spans="1:16" x14ac:dyDescent="0.2">
      <c r="A279" t="s">
        <v>366</v>
      </c>
      <c r="B279" t="str">
        <f t="shared" si="10"/>
        <v>Room 101, Trench A</v>
      </c>
      <c r="C279">
        <v>101</v>
      </c>
      <c r="D279" t="s">
        <v>168</v>
      </c>
      <c r="F279">
        <v>279</v>
      </c>
      <c r="G279" t="s">
        <v>58</v>
      </c>
      <c r="N279" t="s">
        <v>357</v>
      </c>
      <c r="P279">
        <v>-2.21</v>
      </c>
    </row>
    <row r="280" spans="1:16" x14ac:dyDescent="0.2">
      <c r="A280" t="s">
        <v>366</v>
      </c>
      <c r="B280" t="str">
        <f t="shared" si="10"/>
        <v>Room 104, Trench A</v>
      </c>
      <c r="C280">
        <v>104</v>
      </c>
      <c r="D280" t="s">
        <v>168</v>
      </c>
      <c r="F280">
        <v>280</v>
      </c>
      <c r="G280" t="s">
        <v>283</v>
      </c>
      <c r="J280" t="s">
        <v>186</v>
      </c>
      <c r="K280" t="s">
        <v>186</v>
      </c>
      <c r="N280" t="s">
        <v>357</v>
      </c>
      <c r="P280">
        <v>-2.17</v>
      </c>
    </row>
    <row r="281" spans="1:16" x14ac:dyDescent="0.2">
      <c r="A281" t="s">
        <v>366</v>
      </c>
      <c r="B281" t="str">
        <f t="shared" si="10"/>
        <v>Room 104, Trench A</v>
      </c>
      <c r="C281">
        <v>104</v>
      </c>
      <c r="D281" t="s">
        <v>168</v>
      </c>
      <c r="F281">
        <v>281</v>
      </c>
      <c r="G281" t="s">
        <v>185</v>
      </c>
      <c r="J281" t="s">
        <v>29</v>
      </c>
      <c r="K281" t="s">
        <v>29</v>
      </c>
      <c r="N281" t="s">
        <v>354</v>
      </c>
      <c r="P281">
        <v>-2.13</v>
      </c>
    </row>
    <row r="282" spans="1:16" x14ac:dyDescent="0.2">
      <c r="A282" t="s">
        <v>366</v>
      </c>
      <c r="B282" t="str">
        <f t="shared" si="10"/>
        <v>Room 104, Trench A</v>
      </c>
      <c r="C282">
        <v>104</v>
      </c>
      <c r="D282" t="s">
        <v>168</v>
      </c>
      <c r="F282">
        <v>282</v>
      </c>
      <c r="G282" t="s">
        <v>187</v>
      </c>
      <c r="J282" t="s">
        <v>29</v>
      </c>
      <c r="K282" t="s">
        <v>29</v>
      </c>
      <c r="N282" t="s">
        <v>358</v>
      </c>
      <c r="P282">
        <v>-2.12</v>
      </c>
    </row>
    <row r="283" spans="1:16" x14ac:dyDescent="0.2">
      <c r="A283" t="s">
        <v>366</v>
      </c>
      <c r="B283" t="str">
        <f t="shared" si="10"/>
        <v>Room 104, Trench A</v>
      </c>
      <c r="C283">
        <v>104</v>
      </c>
      <c r="D283" t="s">
        <v>168</v>
      </c>
      <c r="F283">
        <v>283</v>
      </c>
      <c r="G283" t="s">
        <v>188</v>
      </c>
      <c r="J283" t="s">
        <v>29</v>
      </c>
      <c r="K283" t="s">
        <v>29</v>
      </c>
      <c r="N283" t="s">
        <v>356</v>
      </c>
      <c r="P283">
        <v>-3.01</v>
      </c>
    </row>
    <row r="284" spans="1:16" x14ac:dyDescent="0.2">
      <c r="A284" t="s">
        <v>366</v>
      </c>
      <c r="B284" t="str">
        <f t="shared" si="10"/>
        <v>Room 104, Trench A</v>
      </c>
      <c r="C284">
        <v>104</v>
      </c>
      <c r="D284" t="s">
        <v>168</v>
      </c>
      <c r="F284">
        <v>284</v>
      </c>
      <c r="G284" t="s">
        <v>76</v>
      </c>
      <c r="J284" t="s">
        <v>186</v>
      </c>
      <c r="K284" t="s">
        <v>186</v>
      </c>
      <c r="N284" t="s">
        <v>357</v>
      </c>
      <c r="P284">
        <v>-2.11</v>
      </c>
    </row>
    <row r="285" spans="1:16" x14ac:dyDescent="0.2">
      <c r="A285" t="s">
        <v>366</v>
      </c>
      <c r="B285" t="str">
        <f>_xlfn.CONCAT(H285, "N ", I285, "E")</f>
        <v>97N 65.5E</v>
      </c>
      <c r="F285">
        <v>285</v>
      </c>
      <c r="G285" t="s">
        <v>189</v>
      </c>
      <c r="H285">
        <v>97</v>
      </c>
      <c r="I285">
        <v>65.5</v>
      </c>
      <c r="J285" t="s">
        <v>29</v>
      </c>
      <c r="K285" t="s">
        <v>29</v>
      </c>
      <c r="N285" t="s">
        <v>356</v>
      </c>
    </row>
    <row r="286" spans="1:16" x14ac:dyDescent="0.2">
      <c r="A286" t="s">
        <v>366</v>
      </c>
      <c r="B286" t="str">
        <f>_xlfn.CONCAT(H286, "N ", I286, "E")</f>
        <v>97N 65.5E</v>
      </c>
      <c r="F286">
        <v>286</v>
      </c>
      <c r="G286" t="s">
        <v>190</v>
      </c>
      <c r="H286">
        <v>97</v>
      </c>
      <c r="I286">
        <v>65.5</v>
      </c>
      <c r="J286" t="s">
        <v>29</v>
      </c>
      <c r="K286" t="s">
        <v>29</v>
      </c>
      <c r="N286" t="s">
        <v>358</v>
      </c>
    </row>
    <row r="287" spans="1:16" x14ac:dyDescent="0.2">
      <c r="A287" t="s">
        <v>366</v>
      </c>
      <c r="F287">
        <v>287</v>
      </c>
    </row>
    <row r="288" spans="1:16" x14ac:dyDescent="0.2">
      <c r="A288" t="s">
        <v>366</v>
      </c>
      <c r="B288" t="str">
        <f t="shared" ref="B288:B306" si="11">_xlfn.CONCAT("Room ", C288, ", Trench ", D288)</f>
        <v>Room 104, Trench A</v>
      </c>
      <c r="C288">
        <v>104</v>
      </c>
      <c r="D288" t="s">
        <v>168</v>
      </c>
      <c r="F288">
        <v>288</v>
      </c>
      <c r="G288" t="s">
        <v>76</v>
      </c>
      <c r="J288" t="s">
        <v>186</v>
      </c>
      <c r="K288" t="s">
        <v>186</v>
      </c>
      <c r="N288" t="s">
        <v>357</v>
      </c>
    </row>
    <row r="289" spans="1:17" x14ac:dyDescent="0.2">
      <c r="A289" t="s">
        <v>366</v>
      </c>
      <c r="B289" t="str">
        <f t="shared" si="11"/>
        <v>Room 101, Trench A</v>
      </c>
      <c r="C289">
        <v>101</v>
      </c>
      <c r="D289" t="s">
        <v>168</v>
      </c>
      <c r="F289">
        <v>289</v>
      </c>
      <c r="G289" t="s">
        <v>76</v>
      </c>
      <c r="J289" t="s">
        <v>29</v>
      </c>
      <c r="K289" t="s">
        <v>29</v>
      </c>
      <c r="N289" t="s">
        <v>357</v>
      </c>
      <c r="P289">
        <v>-2.1800000000000002</v>
      </c>
    </row>
    <row r="290" spans="1:17" x14ac:dyDescent="0.2">
      <c r="A290" t="s">
        <v>366</v>
      </c>
      <c r="B290" t="str">
        <f t="shared" si="11"/>
        <v>Room 101, Trench A</v>
      </c>
      <c r="C290">
        <v>101</v>
      </c>
      <c r="D290" t="s">
        <v>168</v>
      </c>
      <c r="F290">
        <v>290</v>
      </c>
      <c r="G290" t="s">
        <v>154</v>
      </c>
      <c r="J290" t="s">
        <v>29</v>
      </c>
      <c r="K290" t="s">
        <v>29</v>
      </c>
      <c r="N290" t="s">
        <v>358</v>
      </c>
      <c r="P290">
        <v>-1.78</v>
      </c>
    </row>
    <row r="291" spans="1:17" x14ac:dyDescent="0.2">
      <c r="A291" t="s">
        <v>366</v>
      </c>
      <c r="B291" t="str">
        <f t="shared" si="11"/>
        <v>Room 104, Trench A</v>
      </c>
      <c r="C291">
        <v>104</v>
      </c>
      <c r="D291" t="s">
        <v>168</v>
      </c>
      <c r="F291">
        <v>291</v>
      </c>
      <c r="G291" t="s">
        <v>184</v>
      </c>
      <c r="J291" t="s">
        <v>83</v>
      </c>
      <c r="N291" t="s">
        <v>358</v>
      </c>
      <c r="P291">
        <v>-1.86</v>
      </c>
    </row>
    <row r="292" spans="1:17" x14ac:dyDescent="0.2">
      <c r="A292" t="s">
        <v>366</v>
      </c>
      <c r="B292" t="str">
        <f t="shared" si="11"/>
        <v>Room 101, Trench B</v>
      </c>
      <c r="C292">
        <v>101</v>
      </c>
      <c r="D292" t="s">
        <v>172</v>
      </c>
      <c r="F292">
        <v>292</v>
      </c>
      <c r="G292" t="s">
        <v>58</v>
      </c>
      <c r="J292" t="s">
        <v>29</v>
      </c>
      <c r="K292" t="s">
        <v>29</v>
      </c>
      <c r="N292" t="s">
        <v>357</v>
      </c>
      <c r="P292">
        <v>-2.19</v>
      </c>
    </row>
    <row r="293" spans="1:17" x14ac:dyDescent="0.2">
      <c r="A293" t="s">
        <v>366</v>
      </c>
      <c r="B293" t="str">
        <f t="shared" si="11"/>
        <v>Room 101, Trench A</v>
      </c>
      <c r="C293">
        <v>101</v>
      </c>
      <c r="D293" t="s">
        <v>168</v>
      </c>
      <c r="F293">
        <v>293</v>
      </c>
      <c r="G293" t="s">
        <v>191</v>
      </c>
      <c r="J293" t="s">
        <v>29</v>
      </c>
      <c r="K293" t="s">
        <v>29</v>
      </c>
      <c r="N293" t="s">
        <v>357</v>
      </c>
      <c r="P293">
        <v>-2.08</v>
      </c>
    </row>
    <row r="294" spans="1:17" x14ac:dyDescent="0.2">
      <c r="A294" t="s">
        <v>366</v>
      </c>
      <c r="F294">
        <v>294</v>
      </c>
      <c r="Q294" t="s">
        <v>290</v>
      </c>
    </row>
    <row r="295" spans="1:17" x14ac:dyDescent="0.2">
      <c r="A295" t="s">
        <v>366</v>
      </c>
      <c r="B295" t="str">
        <f t="shared" si="11"/>
        <v>Room 101, Trench B</v>
      </c>
      <c r="C295">
        <v>101</v>
      </c>
      <c r="D295" t="s">
        <v>172</v>
      </c>
      <c r="F295">
        <v>295</v>
      </c>
      <c r="G295" t="s">
        <v>191</v>
      </c>
      <c r="J295" t="s">
        <v>186</v>
      </c>
      <c r="K295" t="s">
        <v>186</v>
      </c>
      <c r="N295" t="s">
        <v>357</v>
      </c>
      <c r="P295">
        <v>-2.08</v>
      </c>
    </row>
    <row r="296" spans="1:17" x14ac:dyDescent="0.2">
      <c r="A296" t="s">
        <v>366</v>
      </c>
      <c r="B296" t="str">
        <f t="shared" si="11"/>
        <v>Room 101, Trench B</v>
      </c>
      <c r="C296">
        <v>101</v>
      </c>
      <c r="D296" t="s">
        <v>172</v>
      </c>
      <c r="F296">
        <v>296</v>
      </c>
      <c r="G296" t="s">
        <v>191</v>
      </c>
      <c r="J296" t="s">
        <v>29</v>
      </c>
      <c r="K296" t="s">
        <v>29</v>
      </c>
      <c r="N296" t="s">
        <v>357</v>
      </c>
      <c r="P296">
        <v>-2.09</v>
      </c>
    </row>
    <row r="297" spans="1:17" x14ac:dyDescent="0.2">
      <c r="A297" t="s">
        <v>366</v>
      </c>
      <c r="B297" t="str">
        <f t="shared" si="11"/>
        <v>Room 101, Trench A</v>
      </c>
      <c r="C297">
        <v>101</v>
      </c>
      <c r="D297" t="s">
        <v>168</v>
      </c>
      <c r="F297">
        <v>297</v>
      </c>
      <c r="G297" t="s">
        <v>192</v>
      </c>
      <c r="J297" t="s">
        <v>29</v>
      </c>
      <c r="K297" t="s">
        <v>29</v>
      </c>
      <c r="N297" t="s">
        <v>357</v>
      </c>
      <c r="P297">
        <v>-1.98</v>
      </c>
    </row>
    <row r="298" spans="1:17" x14ac:dyDescent="0.2">
      <c r="A298" t="s">
        <v>366</v>
      </c>
      <c r="B298" t="str">
        <f t="shared" si="11"/>
        <v>Room 101, Trench B</v>
      </c>
      <c r="C298">
        <v>101</v>
      </c>
      <c r="D298" t="s">
        <v>172</v>
      </c>
      <c r="F298">
        <v>298</v>
      </c>
      <c r="G298" t="s">
        <v>191</v>
      </c>
      <c r="J298" t="s">
        <v>29</v>
      </c>
      <c r="K298" t="s">
        <v>29</v>
      </c>
      <c r="N298" t="s">
        <v>357</v>
      </c>
      <c r="P298">
        <v>-1.98</v>
      </c>
    </row>
    <row r="299" spans="1:17" x14ac:dyDescent="0.2">
      <c r="A299" t="s">
        <v>366</v>
      </c>
      <c r="B299" t="str">
        <f t="shared" si="11"/>
        <v>Room 101, Trench B</v>
      </c>
      <c r="C299">
        <v>101</v>
      </c>
      <c r="D299" t="s">
        <v>172</v>
      </c>
      <c r="F299">
        <v>299</v>
      </c>
      <c r="G299" t="s">
        <v>192</v>
      </c>
      <c r="J299" t="s">
        <v>29</v>
      </c>
      <c r="K299" t="s">
        <v>29</v>
      </c>
      <c r="N299" t="s">
        <v>357</v>
      </c>
      <c r="P299">
        <v>-1.99</v>
      </c>
    </row>
    <row r="300" spans="1:17" x14ac:dyDescent="0.2">
      <c r="A300" t="s">
        <v>366</v>
      </c>
      <c r="B300" t="str">
        <f t="shared" si="11"/>
        <v>Room 101, Trench A</v>
      </c>
      <c r="C300">
        <v>101</v>
      </c>
      <c r="D300" t="s">
        <v>168</v>
      </c>
      <c r="F300">
        <v>300</v>
      </c>
      <c r="G300" t="s">
        <v>189</v>
      </c>
      <c r="J300" t="s">
        <v>29</v>
      </c>
      <c r="K300" t="s">
        <v>29</v>
      </c>
      <c r="N300" t="s">
        <v>356</v>
      </c>
      <c r="P300">
        <v>-1.9</v>
      </c>
    </row>
    <row r="301" spans="1:17" x14ac:dyDescent="0.2">
      <c r="A301" t="s">
        <v>366</v>
      </c>
      <c r="B301" t="str">
        <f t="shared" si="11"/>
        <v>Room 101, Trench A</v>
      </c>
      <c r="C301">
        <v>101</v>
      </c>
      <c r="D301" t="s">
        <v>168</v>
      </c>
      <c r="F301">
        <v>301</v>
      </c>
      <c r="G301" t="s">
        <v>170</v>
      </c>
      <c r="N301" t="s">
        <v>356</v>
      </c>
    </row>
    <row r="302" spans="1:17" x14ac:dyDescent="0.2">
      <c r="A302" t="s">
        <v>366</v>
      </c>
      <c r="B302" t="str">
        <f t="shared" si="11"/>
        <v>Room 101, Trench A</v>
      </c>
      <c r="C302">
        <v>101</v>
      </c>
      <c r="D302" t="s">
        <v>168</v>
      </c>
      <c r="F302">
        <v>302</v>
      </c>
      <c r="G302" t="s">
        <v>158</v>
      </c>
      <c r="N302" t="s">
        <v>358</v>
      </c>
    </row>
    <row r="303" spans="1:17" x14ac:dyDescent="0.2">
      <c r="A303" t="s">
        <v>366</v>
      </c>
      <c r="F303">
        <v>303</v>
      </c>
      <c r="Q303" t="s">
        <v>290</v>
      </c>
    </row>
    <row r="304" spans="1:17" x14ac:dyDescent="0.2">
      <c r="A304" t="s">
        <v>366</v>
      </c>
      <c r="B304" t="str">
        <f t="shared" si="11"/>
        <v>Room 101, Trench B</v>
      </c>
      <c r="C304">
        <v>101</v>
      </c>
      <c r="D304" t="s">
        <v>172</v>
      </c>
      <c r="F304">
        <v>304</v>
      </c>
      <c r="G304" t="s">
        <v>193</v>
      </c>
      <c r="J304" t="s">
        <v>29</v>
      </c>
      <c r="K304" t="s">
        <v>29</v>
      </c>
      <c r="N304" t="s">
        <v>356</v>
      </c>
    </row>
    <row r="305" spans="1:17" x14ac:dyDescent="0.2">
      <c r="A305" t="s">
        <v>366</v>
      </c>
      <c r="F305">
        <v>305</v>
      </c>
    </row>
    <row r="306" spans="1:17" x14ac:dyDescent="0.2">
      <c r="A306" t="s">
        <v>366</v>
      </c>
      <c r="B306" t="str">
        <f t="shared" si="11"/>
        <v>Room 101, Trench B</v>
      </c>
      <c r="C306">
        <v>101</v>
      </c>
      <c r="D306" t="s">
        <v>172</v>
      </c>
      <c r="F306">
        <v>306</v>
      </c>
      <c r="G306" t="s">
        <v>148</v>
      </c>
      <c r="J306" t="s">
        <v>83</v>
      </c>
      <c r="N306" t="s">
        <v>356</v>
      </c>
    </row>
    <row r="307" spans="1:17" x14ac:dyDescent="0.2">
      <c r="A307" t="s">
        <v>366</v>
      </c>
      <c r="F307">
        <v>307</v>
      </c>
    </row>
    <row r="308" spans="1:17" x14ac:dyDescent="0.2">
      <c r="A308" t="s">
        <v>366</v>
      </c>
      <c r="F308">
        <v>308</v>
      </c>
      <c r="Q308" t="s">
        <v>290</v>
      </c>
    </row>
    <row r="309" spans="1:17" x14ac:dyDescent="0.2">
      <c r="A309" t="s">
        <v>366</v>
      </c>
      <c r="B309" t="str">
        <f t="shared" ref="B309:B372" si="12">_xlfn.CONCAT("Room ", C309, ", Trench ", D309)</f>
        <v>Room 101, Trench B</v>
      </c>
      <c r="C309">
        <v>101</v>
      </c>
      <c r="D309" t="s">
        <v>172</v>
      </c>
      <c r="F309">
        <v>309</v>
      </c>
      <c r="G309" t="s">
        <v>192</v>
      </c>
      <c r="N309" t="s">
        <v>357</v>
      </c>
    </row>
    <row r="310" spans="1:17" x14ac:dyDescent="0.2">
      <c r="A310" t="s">
        <v>366</v>
      </c>
      <c r="B310" t="str">
        <f t="shared" si="12"/>
        <v>Room 101, Trench B</v>
      </c>
      <c r="C310">
        <v>101</v>
      </c>
      <c r="D310" t="s">
        <v>172</v>
      </c>
      <c r="F310">
        <v>310</v>
      </c>
      <c r="G310" t="s">
        <v>194</v>
      </c>
      <c r="J310" t="s">
        <v>29</v>
      </c>
      <c r="K310" t="s">
        <v>29</v>
      </c>
      <c r="N310" t="s">
        <v>358</v>
      </c>
    </row>
    <row r="311" spans="1:17" x14ac:dyDescent="0.2">
      <c r="A311" t="s">
        <v>366</v>
      </c>
      <c r="B311" t="str">
        <f t="shared" si="12"/>
        <v>Room 101, Trench A</v>
      </c>
      <c r="C311">
        <v>101</v>
      </c>
      <c r="D311" t="s">
        <v>168</v>
      </c>
      <c r="F311">
        <v>311</v>
      </c>
      <c r="G311" t="s">
        <v>195</v>
      </c>
      <c r="J311" t="s">
        <v>29</v>
      </c>
      <c r="K311" t="s">
        <v>29</v>
      </c>
      <c r="N311" t="s">
        <v>353</v>
      </c>
      <c r="P311">
        <v>-2.21</v>
      </c>
    </row>
    <row r="312" spans="1:17" x14ac:dyDescent="0.2">
      <c r="A312" t="s">
        <v>366</v>
      </c>
      <c r="B312" t="str">
        <f t="shared" si="12"/>
        <v>Room 101, Trench B</v>
      </c>
      <c r="C312">
        <v>101</v>
      </c>
      <c r="D312" t="s">
        <v>172</v>
      </c>
      <c r="F312">
        <v>312</v>
      </c>
      <c r="G312" t="s">
        <v>61</v>
      </c>
      <c r="J312" t="s">
        <v>29</v>
      </c>
      <c r="K312" t="s">
        <v>29</v>
      </c>
      <c r="N312" t="s">
        <v>357</v>
      </c>
      <c r="P312">
        <v>-2.25</v>
      </c>
    </row>
    <row r="313" spans="1:17" x14ac:dyDescent="0.2">
      <c r="A313" t="s">
        <v>366</v>
      </c>
      <c r="B313" t="str">
        <f t="shared" si="12"/>
        <v>Room 101, Trench B</v>
      </c>
      <c r="C313">
        <v>101</v>
      </c>
      <c r="D313" t="s">
        <v>172</v>
      </c>
      <c r="F313">
        <v>313</v>
      </c>
      <c r="G313" t="s">
        <v>48</v>
      </c>
      <c r="J313" t="s">
        <v>29</v>
      </c>
      <c r="K313" t="s">
        <v>29</v>
      </c>
      <c r="N313" t="s">
        <v>357</v>
      </c>
      <c r="P313">
        <v>-2.15</v>
      </c>
    </row>
    <row r="314" spans="1:17" x14ac:dyDescent="0.2">
      <c r="A314" t="s">
        <v>366</v>
      </c>
      <c r="B314" t="str">
        <f t="shared" si="12"/>
        <v>Room 101, Trench B</v>
      </c>
      <c r="C314">
        <v>101</v>
      </c>
      <c r="D314" t="s">
        <v>172</v>
      </c>
      <c r="F314">
        <v>314</v>
      </c>
      <c r="G314" t="s">
        <v>82</v>
      </c>
      <c r="J314" t="s">
        <v>29</v>
      </c>
      <c r="K314" t="s">
        <v>29</v>
      </c>
      <c r="N314" t="s">
        <v>357</v>
      </c>
      <c r="P314">
        <v>-2.0499999999999998</v>
      </c>
    </row>
    <row r="315" spans="1:17" x14ac:dyDescent="0.2">
      <c r="A315" t="s">
        <v>366</v>
      </c>
      <c r="B315" t="str">
        <f t="shared" si="12"/>
        <v>Room 101, Trench B</v>
      </c>
      <c r="C315">
        <v>101</v>
      </c>
      <c r="D315" t="s">
        <v>172</v>
      </c>
      <c r="F315">
        <v>315</v>
      </c>
      <c r="G315" t="s">
        <v>154</v>
      </c>
      <c r="J315" t="s">
        <v>29</v>
      </c>
      <c r="K315" t="s">
        <v>29</v>
      </c>
      <c r="N315" t="s">
        <v>358</v>
      </c>
    </row>
    <row r="316" spans="1:17" x14ac:dyDescent="0.2">
      <c r="A316" t="s">
        <v>366</v>
      </c>
      <c r="F316">
        <v>316</v>
      </c>
    </row>
    <row r="317" spans="1:17" x14ac:dyDescent="0.2">
      <c r="A317" t="s">
        <v>366</v>
      </c>
      <c r="B317" t="str">
        <f t="shared" si="12"/>
        <v>Room 101, Trench B</v>
      </c>
      <c r="C317">
        <v>101</v>
      </c>
      <c r="D317" t="s">
        <v>172</v>
      </c>
      <c r="F317">
        <v>317</v>
      </c>
      <c r="G317" t="s">
        <v>88</v>
      </c>
      <c r="J317" t="s">
        <v>29</v>
      </c>
      <c r="K317" t="s">
        <v>29</v>
      </c>
      <c r="N317" t="s">
        <v>357</v>
      </c>
      <c r="P317">
        <v>-1.95</v>
      </c>
    </row>
    <row r="318" spans="1:17" x14ac:dyDescent="0.2">
      <c r="A318" t="s">
        <v>366</v>
      </c>
      <c r="B318" t="str">
        <f t="shared" si="12"/>
        <v>Room 101, Trench B</v>
      </c>
      <c r="C318">
        <v>101</v>
      </c>
      <c r="D318" t="s">
        <v>172</v>
      </c>
      <c r="F318">
        <v>318</v>
      </c>
      <c r="G318" t="s">
        <v>196</v>
      </c>
      <c r="J318" t="s">
        <v>29</v>
      </c>
      <c r="K318" t="s">
        <v>29</v>
      </c>
      <c r="N318" t="s">
        <v>358</v>
      </c>
    </row>
    <row r="319" spans="1:17" x14ac:dyDescent="0.2">
      <c r="A319" t="s">
        <v>366</v>
      </c>
      <c r="B319" t="str">
        <f t="shared" si="12"/>
        <v>Room 101, Trench B</v>
      </c>
      <c r="C319">
        <v>101</v>
      </c>
      <c r="D319" t="s">
        <v>172</v>
      </c>
      <c r="F319">
        <v>319</v>
      </c>
      <c r="G319" t="s">
        <v>197</v>
      </c>
      <c r="J319" t="s">
        <v>29</v>
      </c>
      <c r="K319" t="s">
        <v>29</v>
      </c>
      <c r="N319" t="s">
        <v>357</v>
      </c>
    </row>
    <row r="320" spans="1:17" x14ac:dyDescent="0.2">
      <c r="A320" t="s">
        <v>366</v>
      </c>
      <c r="B320" t="str">
        <f t="shared" si="12"/>
        <v xml:space="preserve">Room 103, Trench </v>
      </c>
      <c r="C320">
        <v>103</v>
      </c>
      <c r="F320">
        <v>320</v>
      </c>
      <c r="G320" t="s">
        <v>198</v>
      </c>
      <c r="N320" t="s">
        <v>354</v>
      </c>
    </row>
    <row r="321" spans="1:21" x14ac:dyDescent="0.2">
      <c r="A321" t="s">
        <v>366</v>
      </c>
      <c r="B321" t="str">
        <f t="shared" si="12"/>
        <v>Room 104, Trench A</v>
      </c>
      <c r="C321">
        <v>104</v>
      </c>
      <c r="D321" t="s">
        <v>168</v>
      </c>
      <c r="F321">
        <v>321</v>
      </c>
      <c r="G321" t="s">
        <v>191</v>
      </c>
      <c r="J321" t="s">
        <v>29</v>
      </c>
      <c r="K321" t="s">
        <v>29</v>
      </c>
      <c r="N321" t="s">
        <v>357</v>
      </c>
      <c r="P321">
        <v>2.96</v>
      </c>
    </row>
    <row r="322" spans="1:21" x14ac:dyDescent="0.2">
      <c r="A322" t="s">
        <v>366</v>
      </c>
      <c r="B322" t="str">
        <f t="shared" si="12"/>
        <v>Room 103, Trench D</v>
      </c>
      <c r="C322">
        <v>103</v>
      </c>
      <c r="D322" t="s">
        <v>199</v>
      </c>
      <c r="F322">
        <v>322</v>
      </c>
      <c r="G322" t="s">
        <v>61</v>
      </c>
      <c r="J322" t="s">
        <v>63</v>
      </c>
      <c r="K322" t="s">
        <v>63</v>
      </c>
      <c r="N322" t="s">
        <v>357</v>
      </c>
      <c r="P322">
        <v>3.18</v>
      </c>
      <c r="S322" t="s">
        <v>371</v>
      </c>
      <c r="U322" t="s">
        <v>371</v>
      </c>
    </row>
    <row r="323" spans="1:21" x14ac:dyDescent="0.2">
      <c r="A323" t="s">
        <v>366</v>
      </c>
      <c r="B323" t="str">
        <f t="shared" si="12"/>
        <v>Room 103, Trench D</v>
      </c>
      <c r="C323">
        <v>103</v>
      </c>
      <c r="D323" t="s">
        <v>199</v>
      </c>
      <c r="F323">
        <v>323</v>
      </c>
      <c r="G323" t="s">
        <v>200</v>
      </c>
      <c r="J323" t="s">
        <v>29</v>
      </c>
      <c r="K323" t="s">
        <v>29</v>
      </c>
      <c r="N323" t="s">
        <v>358</v>
      </c>
      <c r="P323">
        <v>3.05</v>
      </c>
    </row>
    <row r="324" spans="1:21" x14ac:dyDescent="0.2">
      <c r="A324" t="s">
        <v>366</v>
      </c>
      <c r="B324" t="str">
        <f t="shared" si="12"/>
        <v>Room 103, Trench D</v>
      </c>
      <c r="C324">
        <v>103</v>
      </c>
      <c r="D324" t="s">
        <v>199</v>
      </c>
      <c r="F324">
        <v>324</v>
      </c>
      <c r="G324" t="s">
        <v>201</v>
      </c>
      <c r="J324" t="s">
        <v>29</v>
      </c>
      <c r="K324" t="s">
        <v>29</v>
      </c>
      <c r="N324" t="s">
        <v>358</v>
      </c>
      <c r="P324">
        <v>3.5</v>
      </c>
    </row>
    <row r="325" spans="1:21" x14ac:dyDescent="0.2">
      <c r="A325" t="s">
        <v>366</v>
      </c>
      <c r="B325" t="str">
        <f t="shared" si="12"/>
        <v>Room 103, Trench D</v>
      </c>
      <c r="C325">
        <v>103</v>
      </c>
      <c r="D325" t="s">
        <v>199</v>
      </c>
      <c r="F325">
        <v>325</v>
      </c>
      <c r="G325" t="s">
        <v>48</v>
      </c>
      <c r="J325" t="s">
        <v>29</v>
      </c>
      <c r="K325" t="s">
        <v>29</v>
      </c>
      <c r="N325" t="s">
        <v>357</v>
      </c>
      <c r="P325">
        <v>3.08</v>
      </c>
    </row>
    <row r="326" spans="1:21" x14ac:dyDescent="0.2">
      <c r="A326" t="s">
        <v>366</v>
      </c>
      <c r="B326" t="str">
        <f t="shared" si="12"/>
        <v>Room 110, Trench I</v>
      </c>
      <c r="C326">
        <v>110</v>
      </c>
      <c r="D326" t="s">
        <v>202</v>
      </c>
      <c r="F326">
        <v>326</v>
      </c>
      <c r="G326" t="s">
        <v>61</v>
      </c>
      <c r="J326" t="s">
        <v>17</v>
      </c>
      <c r="K326" t="s">
        <v>17</v>
      </c>
      <c r="N326" t="s">
        <v>357</v>
      </c>
      <c r="P326">
        <v>3.31</v>
      </c>
    </row>
    <row r="327" spans="1:21" x14ac:dyDescent="0.2">
      <c r="A327" t="s">
        <v>366</v>
      </c>
      <c r="B327" t="str">
        <f t="shared" si="12"/>
        <v>Room 103, Trench D</v>
      </c>
      <c r="C327">
        <v>103</v>
      </c>
      <c r="D327" t="s">
        <v>199</v>
      </c>
      <c r="F327">
        <v>327</v>
      </c>
      <c r="G327" t="s">
        <v>82</v>
      </c>
      <c r="J327" t="s">
        <v>29</v>
      </c>
      <c r="K327" t="s">
        <v>29</v>
      </c>
      <c r="N327" t="s">
        <v>357</v>
      </c>
      <c r="P327">
        <v>2.98</v>
      </c>
    </row>
    <row r="328" spans="1:21" x14ac:dyDescent="0.2">
      <c r="A328" t="s">
        <v>366</v>
      </c>
      <c r="B328" t="str">
        <f t="shared" si="12"/>
        <v>Room 110, Trench I</v>
      </c>
      <c r="C328">
        <v>110</v>
      </c>
      <c r="D328" t="s">
        <v>202</v>
      </c>
      <c r="F328">
        <v>328</v>
      </c>
      <c r="G328" t="s">
        <v>145</v>
      </c>
      <c r="J328" t="s">
        <v>17</v>
      </c>
      <c r="K328" t="s">
        <v>17</v>
      </c>
      <c r="N328" t="s">
        <v>356</v>
      </c>
      <c r="P328">
        <v>3.09</v>
      </c>
    </row>
    <row r="329" spans="1:21" x14ac:dyDescent="0.2">
      <c r="A329" t="s">
        <v>366</v>
      </c>
      <c r="B329" t="str">
        <f t="shared" si="12"/>
        <v>Room 110, Trench I</v>
      </c>
      <c r="C329">
        <v>110</v>
      </c>
      <c r="D329" t="s">
        <v>202</v>
      </c>
      <c r="F329">
        <v>329</v>
      </c>
      <c r="G329" t="s">
        <v>203</v>
      </c>
      <c r="J329" t="s">
        <v>17</v>
      </c>
      <c r="K329" t="s">
        <v>17</v>
      </c>
      <c r="N329" t="s">
        <v>358</v>
      </c>
      <c r="P329">
        <v>3.19</v>
      </c>
    </row>
    <row r="330" spans="1:21" x14ac:dyDescent="0.2">
      <c r="A330" t="s">
        <v>366</v>
      </c>
      <c r="B330" t="str">
        <f t="shared" si="12"/>
        <v>Room 110, Trench I</v>
      </c>
      <c r="C330">
        <v>110</v>
      </c>
      <c r="D330" t="s">
        <v>202</v>
      </c>
      <c r="F330">
        <v>330</v>
      </c>
      <c r="G330" t="s">
        <v>200</v>
      </c>
      <c r="N330" t="s">
        <v>358</v>
      </c>
      <c r="P330">
        <v>3.11</v>
      </c>
    </row>
    <row r="331" spans="1:21" x14ac:dyDescent="0.2">
      <c r="A331" t="s">
        <v>366</v>
      </c>
      <c r="B331" t="str">
        <f t="shared" si="12"/>
        <v xml:space="preserve">Room 101, Trench </v>
      </c>
      <c r="C331">
        <v>101</v>
      </c>
      <c r="F331">
        <v>331</v>
      </c>
      <c r="G331" t="s">
        <v>198</v>
      </c>
      <c r="N331" t="s">
        <v>354</v>
      </c>
    </row>
    <row r="332" spans="1:21" x14ac:dyDescent="0.2">
      <c r="A332" t="s">
        <v>366</v>
      </c>
      <c r="B332" t="str">
        <f t="shared" si="12"/>
        <v>Room 103, Trench D</v>
      </c>
      <c r="C332">
        <v>103</v>
      </c>
      <c r="D332" t="s">
        <v>199</v>
      </c>
      <c r="F332">
        <v>332</v>
      </c>
      <c r="G332" t="s">
        <v>284</v>
      </c>
      <c r="J332" t="s">
        <v>29</v>
      </c>
      <c r="K332" t="s">
        <v>29</v>
      </c>
      <c r="N332" t="s">
        <v>357</v>
      </c>
      <c r="P332">
        <v>2.88</v>
      </c>
    </row>
    <row r="333" spans="1:21" x14ac:dyDescent="0.2">
      <c r="A333" t="s">
        <v>366</v>
      </c>
      <c r="B333" t="str">
        <f t="shared" si="12"/>
        <v>Room 103, Trench D</v>
      </c>
      <c r="C333">
        <v>103</v>
      </c>
      <c r="D333" t="s">
        <v>199</v>
      </c>
      <c r="F333">
        <v>333</v>
      </c>
      <c r="G333" t="s">
        <v>187</v>
      </c>
      <c r="J333" t="s">
        <v>29</v>
      </c>
      <c r="K333" t="s">
        <v>29</v>
      </c>
      <c r="N333" t="s">
        <v>358</v>
      </c>
      <c r="P333">
        <v>2.81</v>
      </c>
    </row>
    <row r="334" spans="1:21" x14ac:dyDescent="0.2">
      <c r="A334" t="s">
        <v>366</v>
      </c>
      <c r="B334" t="str">
        <f t="shared" si="12"/>
        <v>Room 110, Trench I</v>
      </c>
      <c r="C334">
        <v>110</v>
      </c>
      <c r="D334" t="s">
        <v>202</v>
      </c>
      <c r="F334">
        <v>334</v>
      </c>
      <c r="G334" t="s">
        <v>148</v>
      </c>
      <c r="J334" t="s">
        <v>42</v>
      </c>
      <c r="N334" t="s">
        <v>356</v>
      </c>
      <c r="P334">
        <v>3.1</v>
      </c>
    </row>
    <row r="335" spans="1:21" x14ac:dyDescent="0.2">
      <c r="A335" t="s">
        <v>366</v>
      </c>
      <c r="B335" t="str">
        <f t="shared" si="12"/>
        <v>Room 102, Trench C</v>
      </c>
      <c r="C335">
        <v>102</v>
      </c>
      <c r="D335" t="s">
        <v>206</v>
      </c>
      <c r="F335">
        <v>335</v>
      </c>
      <c r="G335" t="s">
        <v>204</v>
      </c>
      <c r="N335" t="s">
        <v>354</v>
      </c>
    </row>
    <row r="336" spans="1:21" x14ac:dyDescent="0.2">
      <c r="A336" t="s">
        <v>366</v>
      </c>
      <c r="B336" t="str">
        <f t="shared" si="12"/>
        <v>Room 110, Trench I</v>
      </c>
      <c r="C336">
        <v>110</v>
      </c>
      <c r="D336" t="s">
        <v>202</v>
      </c>
      <c r="F336">
        <v>336</v>
      </c>
      <c r="G336" t="s">
        <v>205</v>
      </c>
      <c r="N336" t="s">
        <v>353</v>
      </c>
    </row>
    <row r="337" spans="1:21" x14ac:dyDescent="0.2">
      <c r="A337" t="s">
        <v>366</v>
      </c>
      <c r="B337" t="str">
        <f t="shared" si="12"/>
        <v>Room 110, Trench I</v>
      </c>
      <c r="C337">
        <v>110</v>
      </c>
      <c r="D337" t="s">
        <v>202</v>
      </c>
      <c r="F337">
        <v>337</v>
      </c>
      <c r="G337" t="s">
        <v>205</v>
      </c>
      <c r="J337" t="s">
        <v>17</v>
      </c>
      <c r="K337" t="s">
        <v>17</v>
      </c>
      <c r="N337" t="s">
        <v>353</v>
      </c>
      <c r="P337">
        <v>3.08</v>
      </c>
    </row>
    <row r="338" spans="1:21" x14ac:dyDescent="0.2">
      <c r="A338" t="s">
        <v>366</v>
      </c>
      <c r="B338" t="str">
        <f t="shared" si="12"/>
        <v>Room 102, Trench C</v>
      </c>
      <c r="C338">
        <v>102</v>
      </c>
      <c r="D338" t="s">
        <v>206</v>
      </c>
      <c r="F338">
        <v>338</v>
      </c>
      <c r="G338" t="s">
        <v>48</v>
      </c>
      <c r="J338" t="s">
        <v>29</v>
      </c>
      <c r="K338" t="s">
        <v>29</v>
      </c>
      <c r="N338" t="s">
        <v>357</v>
      </c>
      <c r="P338">
        <v>3.21</v>
      </c>
    </row>
    <row r="339" spans="1:21" x14ac:dyDescent="0.2">
      <c r="A339" t="s">
        <v>366</v>
      </c>
      <c r="B339" t="str">
        <f t="shared" si="12"/>
        <v>Room 102, Trench C</v>
      </c>
      <c r="C339">
        <v>102</v>
      </c>
      <c r="D339" t="s">
        <v>206</v>
      </c>
      <c r="F339">
        <v>339</v>
      </c>
      <c r="G339" t="s">
        <v>48</v>
      </c>
      <c r="J339" t="s">
        <v>29</v>
      </c>
      <c r="K339" t="s">
        <v>29</v>
      </c>
      <c r="N339" t="s">
        <v>357</v>
      </c>
      <c r="P339">
        <v>3.11</v>
      </c>
    </row>
    <row r="340" spans="1:21" x14ac:dyDescent="0.2">
      <c r="A340" t="s">
        <v>366</v>
      </c>
      <c r="B340" t="str">
        <f t="shared" si="12"/>
        <v>Room 102, Trench C</v>
      </c>
      <c r="C340">
        <v>102</v>
      </c>
      <c r="D340" t="s">
        <v>206</v>
      </c>
      <c r="F340">
        <v>340</v>
      </c>
      <c r="G340" t="s">
        <v>207</v>
      </c>
      <c r="J340" t="s">
        <v>29</v>
      </c>
      <c r="K340" t="s">
        <v>29</v>
      </c>
      <c r="N340" t="s">
        <v>356</v>
      </c>
      <c r="P340">
        <v>3.04</v>
      </c>
    </row>
    <row r="341" spans="1:21" x14ac:dyDescent="0.2">
      <c r="A341" t="s">
        <v>366</v>
      </c>
      <c r="B341" t="str">
        <f t="shared" si="12"/>
        <v>Room 110, Trench I</v>
      </c>
      <c r="C341">
        <v>110</v>
      </c>
      <c r="D341" t="s">
        <v>202</v>
      </c>
      <c r="F341">
        <v>341</v>
      </c>
      <c r="G341" t="s">
        <v>154</v>
      </c>
      <c r="J341" t="s">
        <v>43</v>
      </c>
      <c r="K341" t="s">
        <v>12</v>
      </c>
      <c r="N341" t="s">
        <v>358</v>
      </c>
      <c r="P341">
        <v>3.13</v>
      </c>
    </row>
    <row r="342" spans="1:21" x14ac:dyDescent="0.2">
      <c r="A342" t="s">
        <v>366</v>
      </c>
      <c r="B342" t="str">
        <f t="shared" si="12"/>
        <v>Room 102, Trench C</v>
      </c>
      <c r="C342">
        <v>102</v>
      </c>
      <c r="D342" t="s">
        <v>206</v>
      </c>
      <c r="F342">
        <v>342</v>
      </c>
      <c r="G342" t="s">
        <v>208</v>
      </c>
      <c r="N342" t="s">
        <v>354</v>
      </c>
    </row>
    <row r="343" spans="1:21" x14ac:dyDescent="0.2">
      <c r="A343" t="s">
        <v>366</v>
      </c>
      <c r="B343" t="str">
        <f t="shared" si="12"/>
        <v>Room 102, Trench C</v>
      </c>
      <c r="C343">
        <v>102</v>
      </c>
      <c r="D343" t="s">
        <v>206</v>
      </c>
      <c r="F343">
        <v>343</v>
      </c>
      <c r="G343" t="s">
        <v>208</v>
      </c>
      <c r="J343" t="s">
        <v>29</v>
      </c>
      <c r="K343" t="s">
        <v>29</v>
      </c>
      <c r="N343" t="s">
        <v>354</v>
      </c>
      <c r="P343">
        <v>3.09</v>
      </c>
    </row>
    <row r="344" spans="1:21" x14ac:dyDescent="0.2">
      <c r="A344" t="s">
        <v>366</v>
      </c>
      <c r="B344" t="str">
        <f t="shared" si="12"/>
        <v>Room 110, Trench I</v>
      </c>
      <c r="C344">
        <v>110</v>
      </c>
      <c r="D344" t="s">
        <v>202</v>
      </c>
      <c r="F344">
        <v>344</v>
      </c>
      <c r="G344" t="s">
        <v>32</v>
      </c>
      <c r="J344" t="s">
        <v>29</v>
      </c>
      <c r="K344" t="s">
        <v>29</v>
      </c>
      <c r="N344" t="s">
        <v>356</v>
      </c>
      <c r="P344">
        <v>3.09</v>
      </c>
    </row>
    <row r="345" spans="1:21" x14ac:dyDescent="0.2">
      <c r="A345" t="s">
        <v>366</v>
      </c>
      <c r="B345" t="str">
        <f t="shared" si="12"/>
        <v>Room 102, Trench C</v>
      </c>
      <c r="C345">
        <v>102</v>
      </c>
      <c r="D345" t="s">
        <v>206</v>
      </c>
      <c r="F345">
        <v>345</v>
      </c>
      <c r="G345" t="s">
        <v>82</v>
      </c>
      <c r="J345" t="s">
        <v>29</v>
      </c>
      <c r="K345" t="s">
        <v>29</v>
      </c>
      <c r="N345" t="s">
        <v>357</v>
      </c>
      <c r="P345">
        <v>3.04</v>
      </c>
    </row>
    <row r="346" spans="1:21" x14ac:dyDescent="0.2">
      <c r="A346" t="s">
        <v>366</v>
      </c>
      <c r="B346" t="str">
        <f t="shared" si="12"/>
        <v>Room 102, Trench C</v>
      </c>
      <c r="C346">
        <v>102</v>
      </c>
      <c r="D346" t="s">
        <v>206</v>
      </c>
      <c r="F346">
        <v>346</v>
      </c>
      <c r="G346" t="s">
        <v>201</v>
      </c>
      <c r="J346" t="s">
        <v>29</v>
      </c>
      <c r="K346" t="s">
        <v>29</v>
      </c>
      <c r="N346" t="s">
        <v>358</v>
      </c>
      <c r="P346">
        <v>2.93</v>
      </c>
    </row>
    <row r="347" spans="1:21" x14ac:dyDescent="0.2">
      <c r="A347" t="s">
        <v>366</v>
      </c>
      <c r="B347" t="str">
        <f t="shared" si="12"/>
        <v>Room 102, Trench C</v>
      </c>
      <c r="C347">
        <v>102</v>
      </c>
      <c r="D347" t="s">
        <v>206</v>
      </c>
      <c r="F347">
        <v>347</v>
      </c>
      <c r="G347" t="s">
        <v>88</v>
      </c>
      <c r="J347" t="s">
        <v>29</v>
      </c>
      <c r="K347" t="s">
        <v>29</v>
      </c>
      <c r="N347" t="s">
        <v>357</v>
      </c>
      <c r="P347">
        <v>2.93</v>
      </c>
    </row>
    <row r="348" spans="1:21" x14ac:dyDescent="0.2">
      <c r="A348" t="s">
        <v>366</v>
      </c>
      <c r="B348" t="str">
        <f t="shared" si="12"/>
        <v>Room 102, Trench C</v>
      </c>
      <c r="C348">
        <v>102</v>
      </c>
      <c r="D348" t="s">
        <v>206</v>
      </c>
      <c r="F348">
        <v>348</v>
      </c>
      <c r="G348" t="s">
        <v>200</v>
      </c>
      <c r="J348" t="s">
        <v>209</v>
      </c>
      <c r="N348" t="s">
        <v>358</v>
      </c>
      <c r="P348">
        <v>2.89</v>
      </c>
    </row>
    <row r="349" spans="1:21" x14ac:dyDescent="0.2">
      <c r="A349" t="s">
        <v>366</v>
      </c>
      <c r="B349" t="str">
        <f t="shared" si="12"/>
        <v>Room 110, Trench I</v>
      </c>
      <c r="C349">
        <v>110</v>
      </c>
      <c r="D349" t="s">
        <v>202</v>
      </c>
      <c r="F349">
        <v>349</v>
      </c>
      <c r="G349" t="s">
        <v>210</v>
      </c>
      <c r="J349" t="s">
        <v>29</v>
      </c>
      <c r="K349" t="s">
        <v>29</v>
      </c>
      <c r="N349" t="s">
        <v>356</v>
      </c>
      <c r="P349">
        <v>3.08</v>
      </c>
    </row>
    <row r="350" spans="1:21" x14ac:dyDescent="0.2">
      <c r="A350" t="s">
        <v>366</v>
      </c>
      <c r="B350" t="str">
        <f t="shared" si="12"/>
        <v>Room 110, Trench I</v>
      </c>
      <c r="C350">
        <v>110</v>
      </c>
      <c r="D350" t="s">
        <v>202</v>
      </c>
      <c r="F350">
        <v>350</v>
      </c>
      <c r="G350" t="s">
        <v>160</v>
      </c>
      <c r="J350" t="s">
        <v>29</v>
      </c>
      <c r="K350" t="s">
        <v>29</v>
      </c>
      <c r="N350" t="s">
        <v>356</v>
      </c>
      <c r="P350">
        <v>3.07</v>
      </c>
    </row>
    <row r="351" spans="1:21" x14ac:dyDescent="0.2">
      <c r="A351" t="s">
        <v>366</v>
      </c>
      <c r="B351" t="str">
        <f t="shared" si="12"/>
        <v>Room 110, Trench I</v>
      </c>
      <c r="C351">
        <v>110</v>
      </c>
      <c r="D351" t="s">
        <v>202</v>
      </c>
      <c r="F351">
        <v>351</v>
      </c>
      <c r="G351" t="s">
        <v>211</v>
      </c>
      <c r="J351" t="s">
        <v>29</v>
      </c>
      <c r="K351" t="s">
        <v>29</v>
      </c>
      <c r="N351" t="s">
        <v>358</v>
      </c>
      <c r="P351">
        <v>3.05</v>
      </c>
    </row>
    <row r="352" spans="1:21" x14ac:dyDescent="0.2">
      <c r="A352" t="s">
        <v>366</v>
      </c>
      <c r="B352" t="str">
        <f t="shared" si="12"/>
        <v>Room 110, Trench I</v>
      </c>
      <c r="C352">
        <v>110</v>
      </c>
      <c r="D352" t="s">
        <v>202</v>
      </c>
      <c r="F352">
        <v>352</v>
      </c>
      <c r="G352" t="s">
        <v>166</v>
      </c>
      <c r="J352" t="s">
        <v>63</v>
      </c>
      <c r="K352" t="s">
        <v>63</v>
      </c>
      <c r="N352" t="s">
        <v>356</v>
      </c>
      <c r="S352" t="s">
        <v>371</v>
      </c>
      <c r="U352" t="s">
        <v>371</v>
      </c>
    </row>
    <row r="353" spans="1:21" x14ac:dyDescent="0.2">
      <c r="A353" t="s">
        <v>366</v>
      </c>
      <c r="B353" t="str">
        <f t="shared" si="12"/>
        <v>Room 110, Trench I</v>
      </c>
      <c r="C353">
        <v>110</v>
      </c>
      <c r="D353" t="s">
        <v>202</v>
      </c>
      <c r="F353">
        <v>353</v>
      </c>
      <c r="G353" t="s">
        <v>212</v>
      </c>
      <c r="J353" t="s">
        <v>29</v>
      </c>
      <c r="K353" t="s">
        <v>29</v>
      </c>
      <c r="N353" t="s">
        <v>358</v>
      </c>
      <c r="P353">
        <v>3.04</v>
      </c>
    </row>
    <row r="354" spans="1:21" x14ac:dyDescent="0.2">
      <c r="A354" t="s">
        <v>366</v>
      </c>
      <c r="B354" t="str">
        <f t="shared" si="12"/>
        <v>Room 110, Trench I</v>
      </c>
      <c r="C354">
        <v>110</v>
      </c>
      <c r="D354" t="s">
        <v>202</v>
      </c>
      <c r="F354">
        <v>354</v>
      </c>
      <c r="G354" t="s">
        <v>163</v>
      </c>
      <c r="J354" t="s">
        <v>29</v>
      </c>
      <c r="K354" t="s">
        <v>29</v>
      </c>
      <c r="N354" t="s">
        <v>356</v>
      </c>
      <c r="P354">
        <v>3.04</v>
      </c>
    </row>
    <row r="355" spans="1:21" x14ac:dyDescent="0.2">
      <c r="A355" t="s">
        <v>366</v>
      </c>
      <c r="B355" t="str">
        <f t="shared" si="12"/>
        <v>Room 105, Trench E</v>
      </c>
      <c r="C355">
        <v>105</v>
      </c>
      <c r="D355" t="s">
        <v>243</v>
      </c>
      <c r="F355">
        <v>355</v>
      </c>
      <c r="G355" t="s">
        <v>204</v>
      </c>
      <c r="N355" t="s">
        <v>354</v>
      </c>
    </row>
    <row r="356" spans="1:21" x14ac:dyDescent="0.2">
      <c r="A356" t="s">
        <v>366</v>
      </c>
      <c r="B356" t="str">
        <f t="shared" si="12"/>
        <v>Room 110, Trench I</v>
      </c>
      <c r="C356">
        <v>110</v>
      </c>
      <c r="D356" t="s">
        <v>202</v>
      </c>
      <c r="F356">
        <v>356</v>
      </c>
      <c r="G356" t="s">
        <v>213</v>
      </c>
      <c r="J356" t="s">
        <v>17</v>
      </c>
      <c r="K356" t="s">
        <v>17</v>
      </c>
      <c r="N356" t="s">
        <v>357</v>
      </c>
      <c r="P356">
        <v>3.13</v>
      </c>
    </row>
    <row r="357" spans="1:21" x14ac:dyDescent="0.2">
      <c r="A357" t="s">
        <v>366</v>
      </c>
      <c r="B357" t="str">
        <f t="shared" si="12"/>
        <v>Room 110, Trench I</v>
      </c>
      <c r="C357">
        <v>110</v>
      </c>
      <c r="D357" t="s">
        <v>202</v>
      </c>
      <c r="F357">
        <v>357</v>
      </c>
      <c r="G357" t="s">
        <v>214</v>
      </c>
      <c r="J357" t="s">
        <v>42</v>
      </c>
      <c r="N357" t="s">
        <v>357</v>
      </c>
      <c r="P357">
        <v>3.13</v>
      </c>
    </row>
    <row r="358" spans="1:21" x14ac:dyDescent="0.2">
      <c r="A358" t="s">
        <v>366</v>
      </c>
      <c r="B358" t="str">
        <f t="shared" si="12"/>
        <v>Room 110, Trench I</v>
      </c>
      <c r="C358">
        <v>110</v>
      </c>
      <c r="D358" t="s">
        <v>202</v>
      </c>
      <c r="F358">
        <v>358</v>
      </c>
      <c r="G358" t="s">
        <v>215</v>
      </c>
      <c r="J358" t="s">
        <v>17</v>
      </c>
      <c r="K358" t="s">
        <v>17</v>
      </c>
      <c r="N358" t="s">
        <v>357</v>
      </c>
      <c r="P358">
        <v>3.03</v>
      </c>
    </row>
    <row r="359" spans="1:21" x14ac:dyDescent="0.2">
      <c r="A359" t="s">
        <v>366</v>
      </c>
      <c r="B359" t="str">
        <f t="shared" si="12"/>
        <v>Room 110, Trench I</v>
      </c>
      <c r="C359">
        <v>110</v>
      </c>
      <c r="D359" t="s">
        <v>202</v>
      </c>
      <c r="F359">
        <v>359</v>
      </c>
      <c r="G359" t="s">
        <v>82</v>
      </c>
      <c r="J359" t="s">
        <v>17</v>
      </c>
      <c r="K359" t="s">
        <v>17</v>
      </c>
      <c r="N359" t="s">
        <v>357</v>
      </c>
      <c r="P359">
        <v>3.03</v>
      </c>
    </row>
    <row r="360" spans="1:21" x14ac:dyDescent="0.2">
      <c r="A360" t="s">
        <v>366</v>
      </c>
      <c r="B360" t="str">
        <f t="shared" si="12"/>
        <v>Room 105, Trench E</v>
      </c>
      <c r="C360">
        <v>105</v>
      </c>
      <c r="D360" t="s">
        <v>243</v>
      </c>
      <c r="F360">
        <v>360</v>
      </c>
      <c r="G360" t="s">
        <v>198</v>
      </c>
      <c r="N360" t="s">
        <v>354</v>
      </c>
      <c r="Q360" t="s">
        <v>290</v>
      </c>
    </row>
    <row r="361" spans="1:21" x14ac:dyDescent="0.2">
      <c r="A361" t="s">
        <v>366</v>
      </c>
      <c r="B361" t="str">
        <f t="shared" si="12"/>
        <v>Room 105, Trench E</v>
      </c>
      <c r="C361">
        <v>105</v>
      </c>
      <c r="D361" t="s">
        <v>243</v>
      </c>
      <c r="F361">
        <v>361</v>
      </c>
      <c r="G361" t="s">
        <v>61</v>
      </c>
      <c r="J361" t="s">
        <v>17</v>
      </c>
      <c r="K361" t="s">
        <v>17</v>
      </c>
      <c r="N361" t="s">
        <v>357</v>
      </c>
      <c r="P361">
        <v>3.28</v>
      </c>
    </row>
    <row r="362" spans="1:21" x14ac:dyDescent="0.2">
      <c r="A362" t="s">
        <v>366</v>
      </c>
      <c r="B362" t="str">
        <f t="shared" si="12"/>
        <v>Room 110, Trench I</v>
      </c>
      <c r="C362">
        <v>110</v>
      </c>
      <c r="D362" t="s">
        <v>202</v>
      </c>
      <c r="F362">
        <v>362</v>
      </c>
      <c r="G362" t="s">
        <v>216</v>
      </c>
      <c r="J362" t="s">
        <v>29</v>
      </c>
      <c r="K362" t="s">
        <v>29</v>
      </c>
      <c r="N362" t="s">
        <v>357</v>
      </c>
      <c r="P362">
        <v>2.91</v>
      </c>
    </row>
    <row r="363" spans="1:21" x14ac:dyDescent="0.2">
      <c r="A363" t="s">
        <v>366</v>
      </c>
      <c r="B363" t="str">
        <f t="shared" si="12"/>
        <v>Room 110, Trench I</v>
      </c>
      <c r="C363">
        <v>110</v>
      </c>
      <c r="D363" t="s">
        <v>202</v>
      </c>
      <c r="F363">
        <v>363</v>
      </c>
      <c r="G363" t="s">
        <v>170</v>
      </c>
      <c r="J363" t="s">
        <v>63</v>
      </c>
      <c r="K363" t="s">
        <v>63</v>
      </c>
      <c r="N363" t="s">
        <v>356</v>
      </c>
      <c r="P363">
        <v>3.02</v>
      </c>
      <c r="S363" t="s">
        <v>371</v>
      </c>
      <c r="U363" t="s">
        <v>371</v>
      </c>
    </row>
    <row r="364" spans="1:21" x14ac:dyDescent="0.2">
      <c r="A364" t="s">
        <v>366</v>
      </c>
      <c r="F364">
        <v>364</v>
      </c>
      <c r="G364" t="s">
        <v>346</v>
      </c>
      <c r="N364" t="s">
        <v>353</v>
      </c>
      <c r="Q364" t="s">
        <v>290</v>
      </c>
      <c r="R364" t="s">
        <v>307</v>
      </c>
    </row>
    <row r="365" spans="1:21" x14ac:dyDescent="0.2">
      <c r="A365" t="s">
        <v>366</v>
      </c>
      <c r="B365" t="str">
        <f t="shared" si="12"/>
        <v>Room 110, Trench I</v>
      </c>
      <c r="C365">
        <v>110</v>
      </c>
      <c r="D365" t="s">
        <v>202</v>
      </c>
      <c r="F365">
        <v>365</v>
      </c>
      <c r="G365" t="s">
        <v>285</v>
      </c>
      <c r="N365" t="s">
        <v>357</v>
      </c>
      <c r="P365">
        <v>2.81</v>
      </c>
      <c r="Q365" t="s">
        <v>290</v>
      </c>
    </row>
    <row r="366" spans="1:21" x14ac:dyDescent="0.2">
      <c r="A366" t="s">
        <v>366</v>
      </c>
      <c r="F366">
        <v>366</v>
      </c>
      <c r="G366" t="s">
        <v>347</v>
      </c>
      <c r="N366" t="s">
        <v>353</v>
      </c>
      <c r="Q366" t="s">
        <v>290</v>
      </c>
      <c r="R366" t="s">
        <v>307</v>
      </c>
    </row>
    <row r="367" spans="1:21" x14ac:dyDescent="0.2">
      <c r="A367" t="s">
        <v>366</v>
      </c>
      <c r="B367" t="str">
        <f t="shared" si="12"/>
        <v>Room 105, Trench E</v>
      </c>
      <c r="C367">
        <v>105</v>
      </c>
      <c r="D367" t="s">
        <v>243</v>
      </c>
      <c r="F367">
        <v>367</v>
      </c>
      <c r="G367" t="s">
        <v>173</v>
      </c>
      <c r="N367" t="s">
        <v>354</v>
      </c>
      <c r="Q367" t="s">
        <v>290</v>
      </c>
    </row>
    <row r="368" spans="1:21" x14ac:dyDescent="0.2">
      <c r="A368" t="s">
        <v>366</v>
      </c>
      <c r="B368" t="str">
        <f t="shared" si="12"/>
        <v>Room 105, Trench I</v>
      </c>
      <c r="C368">
        <v>105</v>
      </c>
      <c r="D368" t="s">
        <v>202</v>
      </c>
      <c r="F368">
        <v>368</v>
      </c>
      <c r="G368" t="s">
        <v>58</v>
      </c>
      <c r="J368" t="s">
        <v>29</v>
      </c>
      <c r="K368" t="s">
        <v>29</v>
      </c>
      <c r="N368" t="s">
        <v>357</v>
      </c>
      <c r="P368" t="s">
        <v>286</v>
      </c>
    </row>
    <row r="369" spans="1:17" x14ac:dyDescent="0.2">
      <c r="A369" t="s">
        <v>366</v>
      </c>
      <c r="B369" t="str">
        <f t="shared" si="12"/>
        <v>Room 110, Trench I</v>
      </c>
      <c r="C369">
        <v>110</v>
      </c>
      <c r="D369" t="s">
        <v>202</v>
      </c>
      <c r="F369">
        <v>369</v>
      </c>
      <c r="G369" t="s">
        <v>217</v>
      </c>
      <c r="J369" t="s">
        <v>83</v>
      </c>
      <c r="N369" t="s">
        <v>357</v>
      </c>
      <c r="P369">
        <v>2.98</v>
      </c>
    </row>
    <row r="370" spans="1:17" x14ac:dyDescent="0.2">
      <c r="A370" t="s">
        <v>366</v>
      </c>
      <c r="B370" t="str">
        <f t="shared" si="12"/>
        <v>Room 105, Trench E</v>
      </c>
      <c r="C370">
        <v>105</v>
      </c>
      <c r="D370" t="s">
        <v>243</v>
      </c>
      <c r="F370">
        <v>370</v>
      </c>
      <c r="G370" t="s">
        <v>218</v>
      </c>
      <c r="J370" t="s">
        <v>29</v>
      </c>
      <c r="K370" t="s">
        <v>29</v>
      </c>
      <c r="N370" t="s">
        <v>357</v>
      </c>
      <c r="P370">
        <v>3</v>
      </c>
    </row>
    <row r="371" spans="1:17" x14ac:dyDescent="0.2">
      <c r="A371" t="s">
        <v>366</v>
      </c>
      <c r="B371" t="str">
        <f t="shared" si="12"/>
        <v>Room 110, Trench I</v>
      </c>
      <c r="C371">
        <v>110</v>
      </c>
      <c r="D371" t="s">
        <v>202</v>
      </c>
      <c r="F371">
        <v>371</v>
      </c>
      <c r="G371" t="s">
        <v>216</v>
      </c>
      <c r="J371" t="s">
        <v>29</v>
      </c>
      <c r="K371" t="s">
        <v>29</v>
      </c>
      <c r="N371" t="s">
        <v>357</v>
      </c>
      <c r="P371">
        <v>2.88</v>
      </c>
    </row>
    <row r="372" spans="1:17" x14ac:dyDescent="0.2">
      <c r="A372" t="s">
        <v>366</v>
      </c>
      <c r="B372" t="str">
        <f t="shared" si="12"/>
        <v>Room 110, Trench I</v>
      </c>
      <c r="C372">
        <v>110</v>
      </c>
      <c r="D372" t="s">
        <v>202</v>
      </c>
      <c r="F372">
        <v>372</v>
      </c>
      <c r="G372" t="s">
        <v>219</v>
      </c>
      <c r="J372" t="s">
        <v>29</v>
      </c>
      <c r="K372" t="s">
        <v>29</v>
      </c>
      <c r="N372" t="s">
        <v>358</v>
      </c>
      <c r="P372">
        <v>2.73</v>
      </c>
    </row>
    <row r="373" spans="1:17" x14ac:dyDescent="0.2">
      <c r="A373" t="s">
        <v>366</v>
      </c>
      <c r="B373" t="str">
        <f t="shared" ref="B373:B414" si="13">_xlfn.CONCAT("Room ", C373, ", Trench ", D373)</f>
        <v>Room 110, Trench I</v>
      </c>
      <c r="C373">
        <v>110</v>
      </c>
      <c r="D373" t="s">
        <v>202</v>
      </c>
      <c r="F373">
        <v>373</v>
      </c>
      <c r="G373" t="s">
        <v>220</v>
      </c>
      <c r="J373" t="s">
        <v>29</v>
      </c>
      <c r="K373" t="s">
        <v>29</v>
      </c>
      <c r="N373" t="s">
        <v>357</v>
      </c>
      <c r="P373">
        <v>2.71</v>
      </c>
    </row>
    <row r="374" spans="1:17" x14ac:dyDescent="0.2">
      <c r="A374" t="s">
        <v>366</v>
      </c>
      <c r="B374" t="str">
        <f t="shared" si="13"/>
        <v>Room 110, Trench E</v>
      </c>
      <c r="C374">
        <v>110</v>
      </c>
      <c r="D374" t="s">
        <v>243</v>
      </c>
      <c r="F374">
        <v>374</v>
      </c>
      <c r="G374" t="s">
        <v>221</v>
      </c>
      <c r="J374" t="s">
        <v>29</v>
      </c>
      <c r="K374" t="s">
        <v>29</v>
      </c>
      <c r="N374" t="s">
        <v>357</v>
      </c>
      <c r="P374">
        <v>2.61</v>
      </c>
    </row>
    <row r="375" spans="1:17" x14ac:dyDescent="0.2">
      <c r="A375" t="s">
        <v>366</v>
      </c>
      <c r="B375" t="str">
        <f t="shared" si="13"/>
        <v>Room 110, Trench I</v>
      </c>
      <c r="C375">
        <v>110</v>
      </c>
      <c r="D375" t="s">
        <v>202</v>
      </c>
      <c r="F375">
        <v>375</v>
      </c>
      <c r="G375" t="s">
        <v>222</v>
      </c>
      <c r="J375" t="s">
        <v>29</v>
      </c>
      <c r="K375" t="s">
        <v>29</v>
      </c>
      <c r="N375" t="s">
        <v>358</v>
      </c>
      <c r="P375">
        <v>2.72</v>
      </c>
    </row>
    <row r="376" spans="1:17" x14ac:dyDescent="0.2">
      <c r="A376" t="s">
        <v>366</v>
      </c>
      <c r="B376" t="str">
        <f t="shared" si="13"/>
        <v>Room 105, Trench D</v>
      </c>
      <c r="C376">
        <v>105</v>
      </c>
      <c r="D376" t="s">
        <v>199</v>
      </c>
      <c r="F376">
        <v>376</v>
      </c>
      <c r="G376" t="s">
        <v>223</v>
      </c>
      <c r="J376" t="s">
        <v>29</v>
      </c>
      <c r="K376" t="s">
        <v>29</v>
      </c>
      <c r="N376" t="s">
        <v>357</v>
      </c>
      <c r="P376">
        <v>2.99</v>
      </c>
    </row>
    <row r="377" spans="1:17" x14ac:dyDescent="0.2">
      <c r="A377" t="s">
        <v>366</v>
      </c>
      <c r="B377" t="str">
        <f t="shared" si="13"/>
        <v>Room 105, Trench E</v>
      </c>
      <c r="C377">
        <v>105</v>
      </c>
      <c r="D377" t="s">
        <v>243</v>
      </c>
      <c r="F377">
        <v>377</v>
      </c>
      <c r="G377" t="s">
        <v>201</v>
      </c>
      <c r="J377" t="s">
        <v>29</v>
      </c>
      <c r="K377" t="s">
        <v>29</v>
      </c>
      <c r="N377" t="s">
        <v>358</v>
      </c>
      <c r="P377">
        <v>2.77</v>
      </c>
    </row>
    <row r="378" spans="1:17" x14ac:dyDescent="0.2">
      <c r="A378" t="s">
        <v>366</v>
      </c>
      <c r="B378" t="str">
        <f t="shared" si="13"/>
        <v>Room 105, Trench E</v>
      </c>
      <c r="C378">
        <v>105</v>
      </c>
      <c r="D378" t="s">
        <v>243</v>
      </c>
      <c r="F378">
        <v>378</v>
      </c>
      <c r="G378" t="s">
        <v>224</v>
      </c>
      <c r="J378" t="s">
        <v>29</v>
      </c>
      <c r="K378" t="s">
        <v>29</v>
      </c>
      <c r="N378" t="s">
        <v>356</v>
      </c>
    </row>
    <row r="379" spans="1:17" x14ac:dyDescent="0.2">
      <c r="A379" t="s">
        <v>366</v>
      </c>
      <c r="B379" t="str">
        <f t="shared" si="13"/>
        <v>Room 105, Trench E</v>
      </c>
      <c r="C379">
        <v>105</v>
      </c>
      <c r="D379" t="s">
        <v>243</v>
      </c>
      <c r="F379">
        <v>379</v>
      </c>
      <c r="G379" t="s">
        <v>194</v>
      </c>
      <c r="J379" t="s">
        <v>29</v>
      </c>
      <c r="K379" t="s">
        <v>29</v>
      </c>
      <c r="N379" t="s">
        <v>358</v>
      </c>
      <c r="P379">
        <v>2.8</v>
      </c>
    </row>
    <row r="380" spans="1:17" x14ac:dyDescent="0.2">
      <c r="A380" t="s">
        <v>366</v>
      </c>
      <c r="B380" t="s">
        <v>368</v>
      </c>
      <c r="C380">
        <v>105</v>
      </c>
      <c r="F380">
        <v>380</v>
      </c>
      <c r="G380" t="s">
        <v>306</v>
      </c>
      <c r="Q380" t="s">
        <v>290</v>
      </c>
    </row>
    <row r="381" spans="1:17" x14ac:dyDescent="0.2">
      <c r="A381" t="s">
        <v>366</v>
      </c>
      <c r="B381" t="str">
        <f t="shared" si="13"/>
        <v>Room 107, Trench H</v>
      </c>
      <c r="C381">
        <v>107</v>
      </c>
      <c r="D381" t="s">
        <v>225</v>
      </c>
      <c r="F381">
        <v>381</v>
      </c>
      <c r="G381" t="s">
        <v>204</v>
      </c>
      <c r="N381" t="s">
        <v>354</v>
      </c>
      <c r="Q381" t="s">
        <v>290</v>
      </c>
    </row>
    <row r="382" spans="1:17" x14ac:dyDescent="0.2">
      <c r="A382" t="s">
        <v>366</v>
      </c>
      <c r="B382" t="str">
        <f t="shared" si="13"/>
        <v>Room 107, Trench H</v>
      </c>
      <c r="C382">
        <v>107</v>
      </c>
      <c r="D382" t="s">
        <v>225</v>
      </c>
      <c r="F382">
        <v>382</v>
      </c>
      <c r="G382" t="s">
        <v>226</v>
      </c>
      <c r="N382" t="s">
        <v>354</v>
      </c>
      <c r="Q382" t="s">
        <v>290</v>
      </c>
    </row>
    <row r="383" spans="1:17" x14ac:dyDescent="0.2">
      <c r="A383" t="s">
        <v>366</v>
      </c>
      <c r="B383" t="str">
        <f t="shared" si="13"/>
        <v>Room 107, Trench G</v>
      </c>
      <c r="C383">
        <v>107</v>
      </c>
      <c r="D383" t="s">
        <v>228</v>
      </c>
      <c r="F383">
        <v>383</v>
      </c>
      <c r="G383" t="s">
        <v>226</v>
      </c>
      <c r="N383" t="s">
        <v>354</v>
      </c>
      <c r="Q383" t="s">
        <v>290</v>
      </c>
    </row>
    <row r="384" spans="1:17" x14ac:dyDescent="0.2">
      <c r="A384" t="s">
        <v>366</v>
      </c>
      <c r="B384" t="str">
        <f t="shared" si="13"/>
        <v>Room 107, Trench H</v>
      </c>
      <c r="C384">
        <v>107</v>
      </c>
      <c r="D384" t="s">
        <v>225</v>
      </c>
      <c r="F384">
        <v>384</v>
      </c>
      <c r="G384" t="s">
        <v>226</v>
      </c>
      <c r="J384" t="s">
        <v>17</v>
      </c>
      <c r="K384" t="s">
        <v>17</v>
      </c>
      <c r="N384" t="s">
        <v>354</v>
      </c>
      <c r="P384">
        <v>3.31</v>
      </c>
    </row>
    <row r="385" spans="1:18" x14ac:dyDescent="0.2">
      <c r="A385" t="s">
        <v>366</v>
      </c>
      <c r="B385" t="str">
        <f t="shared" si="13"/>
        <v>Room 110, Trench I</v>
      </c>
      <c r="C385">
        <v>110</v>
      </c>
      <c r="D385" t="s">
        <v>202</v>
      </c>
      <c r="F385">
        <v>385</v>
      </c>
      <c r="G385" t="s">
        <v>227</v>
      </c>
      <c r="J385" t="s">
        <v>29</v>
      </c>
      <c r="K385" t="s">
        <v>29</v>
      </c>
      <c r="N385" t="s">
        <v>353</v>
      </c>
      <c r="Q385" t="s">
        <v>290</v>
      </c>
      <c r="R385" t="s">
        <v>307</v>
      </c>
    </row>
    <row r="386" spans="1:18" x14ac:dyDescent="0.2">
      <c r="A386" t="s">
        <v>366</v>
      </c>
      <c r="B386" t="str">
        <f t="shared" si="13"/>
        <v>Room 110, Trench I</v>
      </c>
      <c r="C386">
        <v>110</v>
      </c>
      <c r="D386" t="s">
        <v>202</v>
      </c>
      <c r="F386">
        <v>386</v>
      </c>
      <c r="G386" t="s">
        <v>227</v>
      </c>
      <c r="J386" t="s">
        <v>29</v>
      </c>
      <c r="K386" t="s">
        <v>29</v>
      </c>
      <c r="N386" t="s">
        <v>353</v>
      </c>
      <c r="P386">
        <v>-2.1800000000000002</v>
      </c>
    </row>
    <row r="387" spans="1:18" x14ac:dyDescent="0.2">
      <c r="A387" t="s">
        <v>366</v>
      </c>
      <c r="B387" t="str">
        <f t="shared" si="13"/>
        <v>Room 107, Trench G</v>
      </c>
      <c r="C387">
        <v>107</v>
      </c>
      <c r="D387" t="s">
        <v>228</v>
      </c>
      <c r="F387">
        <v>387</v>
      </c>
      <c r="G387" t="s">
        <v>226</v>
      </c>
      <c r="J387" t="s">
        <v>29</v>
      </c>
      <c r="K387" t="s">
        <v>29</v>
      </c>
      <c r="N387" t="s">
        <v>354</v>
      </c>
      <c r="P387">
        <v>-2.35</v>
      </c>
    </row>
    <row r="388" spans="1:18" x14ac:dyDescent="0.2">
      <c r="A388" t="s">
        <v>366</v>
      </c>
      <c r="B388" t="str">
        <f t="shared" si="13"/>
        <v>Room 107, Trench F</v>
      </c>
      <c r="C388">
        <v>107</v>
      </c>
      <c r="D388" t="s">
        <v>229</v>
      </c>
      <c r="F388">
        <v>388</v>
      </c>
      <c r="G388" t="s">
        <v>226</v>
      </c>
      <c r="J388" t="s">
        <v>22</v>
      </c>
      <c r="N388" t="s">
        <v>354</v>
      </c>
      <c r="P388">
        <v>3.3</v>
      </c>
    </row>
    <row r="389" spans="1:18" x14ac:dyDescent="0.2">
      <c r="A389" t="s">
        <v>366</v>
      </c>
      <c r="F389">
        <v>389</v>
      </c>
      <c r="G389" t="s">
        <v>288</v>
      </c>
      <c r="N389" t="s">
        <v>353</v>
      </c>
      <c r="Q389" t="s">
        <v>290</v>
      </c>
      <c r="R389" t="s">
        <v>307</v>
      </c>
    </row>
    <row r="390" spans="1:18" x14ac:dyDescent="0.2">
      <c r="A390" t="s">
        <v>366</v>
      </c>
      <c r="B390" t="str">
        <f t="shared" si="13"/>
        <v xml:space="preserve">Room 107, Trench </v>
      </c>
      <c r="C390">
        <v>107</v>
      </c>
      <c r="F390">
        <v>390</v>
      </c>
      <c r="G390" t="s">
        <v>230</v>
      </c>
      <c r="J390" t="s">
        <v>29</v>
      </c>
      <c r="K390" t="s">
        <v>29</v>
      </c>
      <c r="N390" t="s">
        <v>353</v>
      </c>
      <c r="P390">
        <v>3.27</v>
      </c>
    </row>
    <row r="391" spans="1:18" x14ac:dyDescent="0.2">
      <c r="A391" t="s">
        <v>366</v>
      </c>
      <c r="B391" t="str">
        <f t="shared" si="13"/>
        <v>Room 107, Trench F</v>
      </c>
      <c r="C391">
        <v>107</v>
      </c>
      <c r="D391" t="s">
        <v>229</v>
      </c>
      <c r="F391">
        <v>391</v>
      </c>
      <c r="G391" t="s">
        <v>231</v>
      </c>
      <c r="J391" t="s">
        <v>17</v>
      </c>
      <c r="K391" t="s">
        <v>17</v>
      </c>
      <c r="N391" t="s">
        <v>357</v>
      </c>
      <c r="P391">
        <v>3.25</v>
      </c>
    </row>
    <row r="392" spans="1:18" x14ac:dyDescent="0.2">
      <c r="A392" t="s">
        <v>366</v>
      </c>
      <c r="B392" t="str">
        <f t="shared" si="13"/>
        <v>Room 107, Trench G</v>
      </c>
      <c r="C392">
        <v>107</v>
      </c>
      <c r="D392" t="s">
        <v>228</v>
      </c>
      <c r="F392">
        <v>392</v>
      </c>
      <c r="G392" t="s">
        <v>231</v>
      </c>
      <c r="J392" t="s">
        <v>42</v>
      </c>
      <c r="N392" t="s">
        <v>357</v>
      </c>
      <c r="P392">
        <v>3.23</v>
      </c>
    </row>
    <row r="393" spans="1:18" x14ac:dyDescent="0.2">
      <c r="A393" t="s">
        <v>366</v>
      </c>
      <c r="B393" t="str">
        <f t="shared" si="13"/>
        <v>Room 107, Trench H</v>
      </c>
      <c r="C393">
        <v>107</v>
      </c>
      <c r="D393" t="s">
        <v>225</v>
      </c>
      <c r="F393">
        <v>393</v>
      </c>
      <c r="G393" t="s">
        <v>231</v>
      </c>
      <c r="J393" t="s">
        <v>17</v>
      </c>
      <c r="K393" t="s">
        <v>17</v>
      </c>
      <c r="N393" t="s">
        <v>357</v>
      </c>
      <c r="P393">
        <v>3.24</v>
      </c>
    </row>
    <row r="394" spans="1:18" x14ac:dyDescent="0.2">
      <c r="A394" t="s">
        <v>366</v>
      </c>
      <c r="B394" t="str">
        <f t="shared" si="13"/>
        <v>Room 107, Trench F</v>
      </c>
      <c r="C394">
        <v>107</v>
      </c>
      <c r="D394" t="s">
        <v>229</v>
      </c>
      <c r="F394">
        <v>394</v>
      </c>
      <c r="G394" t="s">
        <v>198</v>
      </c>
      <c r="N394" t="s">
        <v>354</v>
      </c>
      <c r="Q394" t="s">
        <v>290</v>
      </c>
      <c r="R394" t="s">
        <v>307</v>
      </c>
    </row>
    <row r="395" spans="1:18" x14ac:dyDescent="0.2">
      <c r="A395" t="s">
        <v>366</v>
      </c>
      <c r="B395" t="str">
        <f t="shared" si="13"/>
        <v>Room 107, Trench H</v>
      </c>
      <c r="C395">
        <v>107</v>
      </c>
      <c r="D395" t="s">
        <v>225</v>
      </c>
      <c r="F395">
        <v>395</v>
      </c>
      <c r="G395" t="s">
        <v>198</v>
      </c>
      <c r="N395" t="s">
        <v>354</v>
      </c>
      <c r="Q395" t="s">
        <v>290</v>
      </c>
      <c r="R395" t="s">
        <v>307</v>
      </c>
    </row>
    <row r="396" spans="1:18" x14ac:dyDescent="0.2">
      <c r="A396" t="s">
        <v>366</v>
      </c>
      <c r="B396" t="str">
        <f t="shared" si="13"/>
        <v>Room 107, Trench G</v>
      </c>
      <c r="C396">
        <v>107</v>
      </c>
      <c r="D396" t="s">
        <v>228</v>
      </c>
      <c r="F396">
        <v>396</v>
      </c>
      <c r="G396" t="s">
        <v>198</v>
      </c>
      <c r="N396" t="s">
        <v>354</v>
      </c>
      <c r="Q396" t="s">
        <v>290</v>
      </c>
      <c r="R396" t="s">
        <v>307</v>
      </c>
    </row>
    <row r="397" spans="1:18" x14ac:dyDescent="0.2">
      <c r="A397" t="s">
        <v>366</v>
      </c>
      <c r="B397" t="str">
        <f t="shared" si="13"/>
        <v>Room 107, Trench G</v>
      </c>
      <c r="C397">
        <v>107</v>
      </c>
      <c r="D397" t="s">
        <v>228</v>
      </c>
      <c r="F397">
        <v>397</v>
      </c>
      <c r="G397" t="s">
        <v>133</v>
      </c>
      <c r="J397" t="s">
        <v>83</v>
      </c>
      <c r="N397" t="s">
        <v>356</v>
      </c>
      <c r="P397">
        <v>3.12</v>
      </c>
    </row>
    <row r="398" spans="1:18" x14ac:dyDescent="0.2">
      <c r="A398" t="s">
        <v>366</v>
      </c>
      <c r="B398" t="str">
        <f t="shared" si="13"/>
        <v>Room 107, Trench H</v>
      </c>
      <c r="C398">
        <v>107</v>
      </c>
      <c r="D398" t="s">
        <v>225</v>
      </c>
      <c r="F398">
        <v>398</v>
      </c>
      <c r="G398" t="s">
        <v>207</v>
      </c>
      <c r="J398" t="s">
        <v>29</v>
      </c>
      <c r="K398" t="s">
        <v>29</v>
      </c>
      <c r="N398" t="s">
        <v>356</v>
      </c>
      <c r="P398">
        <v>3.1</v>
      </c>
      <c r="Q398" t="s">
        <v>290</v>
      </c>
      <c r="R398" t="s">
        <v>307</v>
      </c>
    </row>
    <row r="399" spans="1:18" x14ac:dyDescent="0.2">
      <c r="A399" t="s">
        <v>366</v>
      </c>
      <c r="B399" t="str">
        <f t="shared" si="13"/>
        <v>Room 107, Trench H</v>
      </c>
      <c r="C399">
        <v>107</v>
      </c>
      <c r="D399" t="s">
        <v>225</v>
      </c>
      <c r="F399">
        <v>399</v>
      </c>
      <c r="G399" t="s">
        <v>232</v>
      </c>
      <c r="N399" t="s">
        <v>356</v>
      </c>
      <c r="P399">
        <v>3.09</v>
      </c>
    </row>
    <row r="400" spans="1:18" x14ac:dyDescent="0.2">
      <c r="A400" t="s">
        <v>366</v>
      </c>
      <c r="B400" t="str">
        <f t="shared" si="13"/>
        <v>Room 107, Trench F</v>
      </c>
      <c r="C400">
        <v>107</v>
      </c>
      <c r="D400" t="s">
        <v>229</v>
      </c>
      <c r="F400">
        <v>400</v>
      </c>
      <c r="G400" t="s">
        <v>233</v>
      </c>
      <c r="J400" t="s">
        <v>29</v>
      </c>
      <c r="K400" t="s">
        <v>29</v>
      </c>
      <c r="N400" t="s">
        <v>357</v>
      </c>
      <c r="P400">
        <v>3.03</v>
      </c>
    </row>
    <row r="401" spans="1:18" x14ac:dyDescent="0.2">
      <c r="A401" t="s">
        <v>366</v>
      </c>
      <c r="B401" t="str">
        <f t="shared" si="13"/>
        <v>Room 107, Trench G</v>
      </c>
      <c r="C401">
        <v>107</v>
      </c>
      <c r="D401" t="s">
        <v>228</v>
      </c>
      <c r="F401">
        <v>401</v>
      </c>
      <c r="G401" t="s">
        <v>58</v>
      </c>
      <c r="J401" t="s">
        <v>29</v>
      </c>
      <c r="K401" t="s">
        <v>29</v>
      </c>
      <c r="N401" t="s">
        <v>357</v>
      </c>
      <c r="P401">
        <v>3.1</v>
      </c>
    </row>
    <row r="402" spans="1:18" x14ac:dyDescent="0.2">
      <c r="A402" t="s">
        <v>366</v>
      </c>
      <c r="B402" t="str">
        <f t="shared" si="13"/>
        <v>Room 107, Trench H</v>
      </c>
      <c r="C402">
        <v>107</v>
      </c>
      <c r="D402" t="s">
        <v>225</v>
      </c>
      <c r="F402">
        <v>402</v>
      </c>
      <c r="G402" t="s">
        <v>58</v>
      </c>
      <c r="J402" t="s">
        <v>17</v>
      </c>
      <c r="K402" t="s">
        <v>17</v>
      </c>
      <c r="N402" t="s">
        <v>357</v>
      </c>
      <c r="P402" t="s">
        <v>287</v>
      </c>
    </row>
    <row r="403" spans="1:18" x14ac:dyDescent="0.2">
      <c r="A403" t="s">
        <v>366</v>
      </c>
      <c r="B403" t="str">
        <f t="shared" si="13"/>
        <v>Room 107, Trench F</v>
      </c>
      <c r="C403">
        <v>107</v>
      </c>
      <c r="D403" t="s">
        <v>229</v>
      </c>
      <c r="F403">
        <v>403</v>
      </c>
      <c r="G403" t="s">
        <v>173</v>
      </c>
      <c r="N403" t="s">
        <v>354</v>
      </c>
      <c r="Q403" t="s">
        <v>290</v>
      </c>
      <c r="R403" t="s">
        <v>307</v>
      </c>
    </row>
    <row r="404" spans="1:18" x14ac:dyDescent="0.2">
      <c r="A404" t="s">
        <v>366</v>
      </c>
      <c r="B404" t="str">
        <f t="shared" si="13"/>
        <v>Room 107, Trench H</v>
      </c>
      <c r="C404">
        <v>107</v>
      </c>
      <c r="D404" t="s">
        <v>225</v>
      </c>
      <c r="F404">
        <v>404</v>
      </c>
      <c r="G404" t="s">
        <v>173</v>
      </c>
      <c r="N404" t="s">
        <v>354</v>
      </c>
      <c r="Q404" t="s">
        <v>290</v>
      </c>
      <c r="R404" t="s">
        <v>307</v>
      </c>
    </row>
    <row r="405" spans="1:18" x14ac:dyDescent="0.2">
      <c r="A405" t="s">
        <v>366</v>
      </c>
      <c r="B405" t="str">
        <f t="shared" si="13"/>
        <v>Room 107, Trench F</v>
      </c>
      <c r="C405">
        <v>107</v>
      </c>
      <c r="D405" t="s">
        <v>229</v>
      </c>
      <c r="F405">
        <v>405</v>
      </c>
      <c r="G405" t="s">
        <v>76</v>
      </c>
      <c r="J405" t="s">
        <v>29</v>
      </c>
      <c r="K405" t="s">
        <v>29</v>
      </c>
      <c r="N405" t="s">
        <v>357</v>
      </c>
      <c r="P405">
        <v>2.99</v>
      </c>
    </row>
    <row r="406" spans="1:18" x14ac:dyDescent="0.2">
      <c r="A406" t="s">
        <v>366</v>
      </c>
      <c r="B406" t="str">
        <f t="shared" si="13"/>
        <v>Room 107, Trench G</v>
      </c>
      <c r="C406">
        <v>107</v>
      </c>
      <c r="D406" t="s">
        <v>228</v>
      </c>
      <c r="F406">
        <v>406</v>
      </c>
      <c r="G406" t="s">
        <v>76</v>
      </c>
      <c r="J406" t="s">
        <v>29</v>
      </c>
      <c r="K406" t="s">
        <v>29</v>
      </c>
      <c r="N406" t="s">
        <v>357</v>
      </c>
      <c r="P406">
        <v>2.98</v>
      </c>
    </row>
    <row r="407" spans="1:18" x14ac:dyDescent="0.2">
      <c r="A407" t="s">
        <v>366</v>
      </c>
      <c r="B407" t="str">
        <f t="shared" si="13"/>
        <v>Room 107, Trench H</v>
      </c>
      <c r="C407">
        <v>107</v>
      </c>
      <c r="D407" t="s">
        <v>225</v>
      </c>
      <c r="F407">
        <v>407</v>
      </c>
      <c r="G407" t="s">
        <v>76</v>
      </c>
      <c r="J407" t="s">
        <v>29</v>
      </c>
      <c r="K407" t="s">
        <v>29</v>
      </c>
      <c r="N407" t="s">
        <v>357</v>
      </c>
      <c r="P407">
        <v>3.06</v>
      </c>
    </row>
    <row r="408" spans="1:18" x14ac:dyDescent="0.2">
      <c r="A408" t="s">
        <v>366</v>
      </c>
      <c r="B408" t="str">
        <f t="shared" si="13"/>
        <v>Room 107, Trench G</v>
      </c>
      <c r="C408">
        <v>107</v>
      </c>
      <c r="D408" t="s">
        <v>228</v>
      </c>
      <c r="F408">
        <v>408</v>
      </c>
      <c r="G408" t="s">
        <v>191</v>
      </c>
      <c r="J408" t="s">
        <v>29</v>
      </c>
      <c r="K408" t="s">
        <v>29</v>
      </c>
      <c r="N408" t="s">
        <v>357</v>
      </c>
      <c r="P408">
        <v>2.88</v>
      </c>
    </row>
    <row r="409" spans="1:18" x14ac:dyDescent="0.2">
      <c r="A409" t="s">
        <v>366</v>
      </c>
      <c r="B409" t="str">
        <f t="shared" si="13"/>
        <v>Room 107, Trench F</v>
      </c>
      <c r="C409">
        <v>107</v>
      </c>
      <c r="D409" t="s">
        <v>229</v>
      </c>
      <c r="F409">
        <v>409</v>
      </c>
      <c r="J409" t="s">
        <v>29</v>
      </c>
      <c r="K409" t="s">
        <v>29</v>
      </c>
      <c r="P409">
        <v>2.89</v>
      </c>
    </row>
    <row r="410" spans="1:18" x14ac:dyDescent="0.2">
      <c r="A410" t="s">
        <v>366</v>
      </c>
      <c r="B410" t="str">
        <f t="shared" si="13"/>
        <v>Room 107, Trench H</v>
      </c>
      <c r="C410">
        <v>107</v>
      </c>
      <c r="D410" t="s">
        <v>225</v>
      </c>
      <c r="F410">
        <v>410</v>
      </c>
      <c r="G410" t="s">
        <v>82</v>
      </c>
      <c r="J410" t="s">
        <v>29</v>
      </c>
      <c r="K410" t="s">
        <v>29</v>
      </c>
      <c r="N410" t="s">
        <v>357</v>
      </c>
      <c r="P410">
        <v>2.96</v>
      </c>
    </row>
    <row r="411" spans="1:18" x14ac:dyDescent="0.2">
      <c r="A411" t="s">
        <v>366</v>
      </c>
      <c r="B411" t="str">
        <f t="shared" si="13"/>
        <v>Room 107, Trench B</v>
      </c>
      <c r="C411">
        <v>107</v>
      </c>
      <c r="D411" t="s">
        <v>172</v>
      </c>
      <c r="F411">
        <v>411</v>
      </c>
      <c r="G411" t="s">
        <v>148</v>
      </c>
      <c r="N411" t="s">
        <v>356</v>
      </c>
      <c r="Q411" t="s">
        <v>290</v>
      </c>
      <c r="R411" t="s">
        <v>308</v>
      </c>
    </row>
    <row r="412" spans="1:18" x14ac:dyDescent="0.2">
      <c r="A412" t="s">
        <v>366</v>
      </c>
      <c r="B412" t="str">
        <f t="shared" si="13"/>
        <v>Room 107, Trench F</v>
      </c>
      <c r="C412">
        <v>107</v>
      </c>
      <c r="D412" t="s">
        <v>229</v>
      </c>
      <c r="F412">
        <v>412</v>
      </c>
      <c r="G412" t="s">
        <v>192</v>
      </c>
      <c r="J412" t="s">
        <v>29</v>
      </c>
      <c r="K412" t="s">
        <v>29</v>
      </c>
      <c r="N412" t="s">
        <v>357</v>
      </c>
      <c r="P412">
        <v>2.79</v>
      </c>
    </row>
    <row r="413" spans="1:18" x14ac:dyDescent="0.2">
      <c r="A413" t="s">
        <v>366</v>
      </c>
      <c r="B413" t="str">
        <f t="shared" si="13"/>
        <v>Room 107, Trench G</v>
      </c>
      <c r="C413">
        <v>107</v>
      </c>
      <c r="D413" t="s">
        <v>228</v>
      </c>
      <c r="F413">
        <v>413</v>
      </c>
      <c r="G413" t="s">
        <v>192</v>
      </c>
      <c r="J413" t="s">
        <v>309</v>
      </c>
      <c r="N413" t="s">
        <v>357</v>
      </c>
      <c r="P413">
        <v>2.78</v>
      </c>
      <c r="Q413" t="s">
        <v>290</v>
      </c>
    </row>
    <row r="414" spans="1:18" x14ac:dyDescent="0.2">
      <c r="A414" t="s">
        <v>366</v>
      </c>
      <c r="B414" t="str">
        <f t="shared" si="13"/>
        <v>Room 107, Trench H</v>
      </c>
      <c r="C414">
        <v>107</v>
      </c>
      <c r="D414" t="s">
        <v>225</v>
      </c>
      <c r="F414">
        <v>414</v>
      </c>
      <c r="G414" t="s">
        <v>192</v>
      </c>
      <c r="J414" t="s">
        <v>29</v>
      </c>
      <c r="K414" t="s">
        <v>29</v>
      </c>
      <c r="N414" t="s">
        <v>357</v>
      </c>
      <c r="P414">
        <v>2.78</v>
      </c>
    </row>
    <row r="415" spans="1:18" x14ac:dyDescent="0.2">
      <c r="A415" t="s">
        <v>366</v>
      </c>
      <c r="F415">
        <v>415</v>
      </c>
      <c r="Q415" t="s">
        <v>290</v>
      </c>
    </row>
    <row r="416" spans="1:18" x14ac:dyDescent="0.2">
      <c r="A416" t="s">
        <v>366</v>
      </c>
      <c r="F416">
        <v>416</v>
      </c>
      <c r="Q416" t="s">
        <v>290</v>
      </c>
    </row>
    <row r="417" spans="1:17" x14ac:dyDescent="0.2">
      <c r="A417" t="s">
        <v>366</v>
      </c>
      <c r="F417">
        <v>417</v>
      </c>
      <c r="Q417" t="s">
        <v>290</v>
      </c>
    </row>
    <row r="418" spans="1:17" x14ac:dyDescent="0.2">
      <c r="A418" t="s">
        <v>366</v>
      </c>
      <c r="F418">
        <v>418</v>
      </c>
      <c r="Q418" t="s">
        <v>290</v>
      </c>
    </row>
    <row r="419" spans="1:17" x14ac:dyDescent="0.2">
      <c r="A419" t="s">
        <v>366</v>
      </c>
      <c r="F419">
        <v>419</v>
      </c>
      <c r="Q419" t="s">
        <v>290</v>
      </c>
    </row>
    <row r="420" spans="1:17" x14ac:dyDescent="0.2">
      <c r="A420" t="s">
        <v>366</v>
      </c>
      <c r="F420">
        <v>420</v>
      </c>
      <c r="Q420" t="s">
        <v>290</v>
      </c>
    </row>
    <row r="421" spans="1:17" x14ac:dyDescent="0.2">
      <c r="A421" t="s">
        <v>366</v>
      </c>
      <c r="B421" t="s">
        <v>367</v>
      </c>
      <c r="D421" t="s">
        <v>228</v>
      </c>
      <c r="E421" t="s">
        <v>312</v>
      </c>
      <c r="F421">
        <v>421</v>
      </c>
      <c r="G421" t="s">
        <v>84</v>
      </c>
      <c r="N421" t="s">
        <v>357</v>
      </c>
    </row>
    <row r="422" spans="1:17" x14ac:dyDescent="0.2">
      <c r="A422" t="s">
        <v>366</v>
      </c>
      <c r="B422" t="str">
        <f>_xlfn.CONCAT(C422, " ", E422)</f>
        <v>STGEO NORTH</v>
      </c>
      <c r="C422" t="s">
        <v>311</v>
      </c>
      <c r="E422" t="s">
        <v>313</v>
      </c>
      <c r="F422">
        <v>422</v>
      </c>
      <c r="G422" t="s">
        <v>14</v>
      </c>
      <c r="N422" t="s">
        <v>358</v>
      </c>
    </row>
    <row r="423" spans="1:17" x14ac:dyDescent="0.2">
      <c r="A423" t="s">
        <v>366</v>
      </c>
      <c r="B423" t="str">
        <f t="shared" ref="B423:B429" si="14">_xlfn.CONCAT(C423, " ", E423)</f>
        <v>STGEO NORTH</v>
      </c>
      <c r="C423" t="s">
        <v>311</v>
      </c>
      <c r="E423" t="s">
        <v>313</v>
      </c>
      <c r="F423">
        <v>423</v>
      </c>
      <c r="G423" t="s">
        <v>234</v>
      </c>
      <c r="N423" t="s">
        <v>353</v>
      </c>
    </row>
    <row r="424" spans="1:17" x14ac:dyDescent="0.2">
      <c r="A424" t="s">
        <v>366</v>
      </c>
      <c r="B424" t="str">
        <f t="shared" si="14"/>
        <v>STGEO NORTH</v>
      </c>
      <c r="C424" t="s">
        <v>311</v>
      </c>
      <c r="E424" t="s">
        <v>313</v>
      </c>
      <c r="F424">
        <v>424</v>
      </c>
      <c r="G424" t="s">
        <v>67</v>
      </c>
      <c r="N424" t="s">
        <v>358</v>
      </c>
    </row>
    <row r="425" spans="1:17" x14ac:dyDescent="0.2">
      <c r="A425" t="s">
        <v>366</v>
      </c>
      <c r="B425" t="str">
        <f t="shared" si="14"/>
        <v>STGEO NORTH</v>
      </c>
      <c r="C425" t="s">
        <v>311</v>
      </c>
      <c r="E425" t="s">
        <v>313</v>
      </c>
      <c r="F425">
        <v>425</v>
      </c>
      <c r="G425" t="s">
        <v>235</v>
      </c>
      <c r="N425" t="s">
        <v>358</v>
      </c>
    </row>
    <row r="426" spans="1:17" x14ac:dyDescent="0.2">
      <c r="A426" t="s">
        <v>366</v>
      </c>
      <c r="B426" t="str">
        <f t="shared" si="14"/>
        <v>STGEO NORTH</v>
      </c>
      <c r="C426" t="s">
        <v>311</v>
      </c>
      <c r="E426" t="s">
        <v>313</v>
      </c>
      <c r="F426">
        <v>426</v>
      </c>
      <c r="G426" t="s">
        <v>232</v>
      </c>
      <c r="N426" t="s">
        <v>356</v>
      </c>
    </row>
    <row r="427" spans="1:17" x14ac:dyDescent="0.2">
      <c r="A427" t="s">
        <v>366</v>
      </c>
      <c r="B427" t="str">
        <f t="shared" si="14"/>
        <v>STGEO NORTH</v>
      </c>
      <c r="C427" t="s">
        <v>311</v>
      </c>
      <c r="E427" t="s">
        <v>313</v>
      </c>
      <c r="F427">
        <v>427</v>
      </c>
      <c r="G427" t="s">
        <v>174</v>
      </c>
      <c r="N427" t="s">
        <v>356</v>
      </c>
    </row>
    <row r="428" spans="1:17" x14ac:dyDescent="0.2">
      <c r="A428" t="s">
        <v>366</v>
      </c>
      <c r="B428" t="str">
        <f t="shared" si="14"/>
        <v>STGEO NORTH</v>
      </c>
      <c r="C428" t="s">
        <v>311</v>
      </c>
      <c r="E428" t="s">
        <v>313</v>
      </c>
      <c r="F428">
        <v>428</v>
      </c>
      <c r="G428" t="s">
        <v>86</v>
      </c>
      <c r="N428" t="s">
        <v>358</v>
      </c>
    </row>
    <row r="429" spans="1:17" x14ac:dyDescent="0.2">
      <c r="A429" t="s">
        <v>366</v>
      </c>
      <c r="B429" t="str">
        <f t="shared" si="14"/>
        <v>STGEO NORTH</v>
      </c>
      <c r="C429" t="s">
        <v>311</v>
      </c>
      <c r="E429" t="s">
        <v>313</v>
      </c>
      <c r="F429">
        <v>429</v>
      </c>
      <c r="G429" t="s">
        <v>224</v>
      </c>
      <c r="N429" t="s">
        <v>356</v>
      </c>
    </row>
    <row r="430" spans="1:17" x14ac:dyDescent="0.2">
      <c r="A430" t="s">
        <v>366</v>
      </c>
      <c r="B430" t="s">
        <v>369</v>
      </c>
      <c r="D430" t="s">
        <v>228</v>
      </c>
      <c r="E430" t="s">
        <v>313</v>
      </c>
      <c r="F430">
        <v>430</v>
      </c>
      <c r="G430" t="s">
        <v>231</v>
      </c>
      <c r="N430" t="s">
        <v>357</v>
      </c>
    </row>
    <row r="431" spans="1:17" x14ac:dyDescent="0.2">
      <c r="A431" t="s">
        <v>366</v>
      </c>
      <c r="B431" t="s">
        <v>367</v>
      </c>
      <c r="D431" t="s">
        <v>228</v>
      </c>
      <c r="E431" t="s">
        <v>312</v>
      </c>
      <c r="F431">
        <v>431</v>
      </c>
      <c r="G431" t="s">
        <v>236</v>
      </c>
      <c r="N431" t="s">
        <v>357</v>
      </c>
      <c r="Q431" t="s">
        <v>314</v>
      </c>
    </row>
    <row r="432" spans="1:17" x14ac:dyDescent="0.2">
      <c r="A432" t="s">
        <v>366</v>
      </c>
      <c r="B432" t="str">
        <f t="shared" ref="B432" si="15">_xlfn.CONCAT(C432, " ", E432)</f>
        <v>STGEO SOUTH</v>
      </c>
      <c r="C432" t="s">
        <v>311</v>
      </c>
      <c r="E432" t="s">
        <v>312</v>
      </c>
      <c r="F432">
        <v>432</v>
      </c>
      <c r="G432" t="s">
        <v>14</v>
      </c>
      <c r="N432" t="s">
        <v>358</v>
      </c>
    </row>
    <row r="433" spans="1:14" x14ac:dyDescent="0.2">
      <c r="A433" t="s">
        <v>366</v>
      </c>
      <c r="B433" t="s">
        <v>367</v>
      </c>
      <c r="D433" t="s">
        <v>228</v>
      </c>
      <c r="E433" t="s">
        <v>312</v>
      </c>
      <c r="F433">
        <v>433</v>
      </c>
      <c r="G433" t="s">
        <v>237</v>
      </c>
      <c r="N433" t="s">
        <v>357</v>
      </c>
    </row>
    <row r="434" spans="1:14" x14ac:dyDescent="0.2">
      <c r="A434" t="s">
        <v>366</v>
      </c>
      <c r="B434" t="str">
        <f t="shared" ref="B434" si="16">_xlfn.CONCAT(C434, " ", E434)</f>
        <v>STGEO SOUTH</v>
      </c>
      <c r="C434" t="s">
        <v>311</v>
      </c>
      <c r="E434" t="s">
        <v>312</v>
      </c>
      <c r="F434">
        <v>434</v>
      </c>
      <c r="G434" t="s">
        <v>144</v>
      </c>
      <c r="N434" t="s">
        <v>356</v>
      </c>
    </row>
    <row r="435" spans="1:14" x14ac:dyDescent="0.2">
      <c r="A435" t="s">
        <v>366</v>
      </c>
      <c r="B435" t="str">
        <f t="shared" ref="B435:B449" si="17">_xlfn.CONCAT("Room ", C435, ", Trench ", D435)</f>
        <v>Room 108, Trench J</v>
      </c>
      <c r="C435">
        <v>108</v>
      </c>
      <c r="D435" t="s">
        <v>315</v>
      </c>
      <c r="F435">
        <v>435</v>
      </c>
      <c r="G435" t="s">
        <v>204</v>
      </c>
      <c r="N435" t="s">
        <v>354</v>
      </c>
    </row>
    <row r="436" spans="1:14" x14ac:dyDescent="0.2">
      <c r="A436" t="s">
        <v>366</v>
      </c>
      <c r="B436" t="str">
        <f t="shared" si="17"/>
        <v>Room 108, Trench K</v>
      </c>
      <c r="C436">
        <v>108</v>
      </c>
      <c r="D436" t="s">
        <v>316</v>
      </c>
      <c r="F436">
        <v>436</v>
      </c>
      <c r="G436" t="s">
        <v>204</v>
      </c>
      <c r="N436" t="s">
        <v>354</v>
      </c>
    </row>
    <row r="437" spans="1:14" x14ac:dyDescent="0.2">
      <c r="A437" t="s">
        <v>366</v>
      </c>
      <c r="B437" t="s">
        <v>367</v>
      </c>
      <c r="D437" t="s">
        <v>228</v>
      </c>
      <c r="E437" t="s">
        <v>312</v>
      </c>
      <c r="F437">
        <v>437</v>
      </c>
      <c r="G437" t="s">
        <v>236</v>
      </c>
      <c r="N437" t="s">
        <v>357</v>
      </c>
    </row>
    <row r="438" spans="1:14" x14ac:dyDescent="0.2">
      <c r="A438" t="s">
        <v>366</v>
      </c>
      <c r="B438" t="str">
        <f t="shared" si="17"/>
        <v>Room 108, Trench J</v>
      </c>
      <c r="C438">
        <v>108</v>
      </c>
      <c r="D438" t="s">
        <v>315</v>
      </c>
      <c r="F438">
        <v>438</v>
      </c>
      <c r="G438" t="s">
        <v>61</v>
      </c>
      <c r="N438" t="s">
        <v>357</v>
      </c>
    </row>
    <row r="439" spans="1:14" x14ac:dyDescent="0.2">
      <c r="A439" t="s">
        <v>366</v>
      </c>
      <c r="B439" t="str">
        <f t="shared" si="17"/>
        <v>Room 108, Trench K</v>
      </c>
      <c r="C439">
        <v>108</v>
      </c>
      <c r="D439" t="s">
        <v>316</v>
      </c>
      <c r="F439">
        <v>439</v>
      </c>
      <c r="G439" t="s">
        <v>61</v>
      </c>
      <c r="N439" t="s">
        <v>357</v>
      </c>
    </row>
    <row r="440" spans="1:14" x14ac:dyDescent="0.2">
      <c r="A440" t="s">
        <v>366</v>
      </c>
      <c r="B440" t="s">
        <v>367</v>
      </c>
      <c r="D440" t="s">
        <v>228</v>
      </c>
      <c r="E440" t="s">
        <v>312</v>
      </c>
      <c r="F440">
        <v>440</v>
      </c>
      <c r="G440" t="s">
        <v>84</v>
      </c>
      <c r="N440" t="s">
        <v>357</v>
      </c>
    </row>
    <row r="441" spans="1:14" x14ac:dyDescent="0.2">
      <c r="A441" t="s">
        <v>366</v>
      </c>
      <c r="B441" t="str">
        <f t="shared" si="17"/>
        <v>Room 108, Trench J</v>
      </c>
      <c r="C441">
        <v>108</v>
      </c>
      <c r="D441" t="s">
        <v>315</v>
      </c>
      <c r="F441">
        <v>441</v>
      </c>
      <c r="G441" t="s">
        <v>48</v>
      </c>
      <c r="N441" t="s">
        <v>357</v>
      </c>
    </row>
    <row r="442" spans="1:14" x14ac:dyDescent="0.2">
      <c r="A442" t="s">
        <v>366</v>
      </c>
      <c r="B442" t="str">
        <f t="shared" si="17"/>
        <v>Room 108, Trench K</v>
      </c>
      <c r="C442">
        <v>108</v>
      </c>
      <c r="D442" t="s">
        <v>316</v>
      </c>
      <c r="F442">
        <v>442</v>
      </c>
      <c r="G442" t="s">
        <v>238</v>
      </c>
      <c r="N442" t="s">
        <v>356</v>
      </c>
    </row>
    <row r="443" spans="1:14" x14ac:dyDescent="0.2">
      <c r="A443" t="s">
        <v>366</v>
      </c>
      <c r="B443" t="str">
        <f t="shared" si="17"/>
        <v>Room 108, Trench K</v>
      </c>
      <c r="C443">
        <v>108</v>
      </c>
      <c r="D443" t="s">
        <v>316</v>
      </c>
      <c r="F443">
        <v>443</v>
      </c>
      <c r="G443" t="s">
        <v>48</v>
      </c>
      <c r="N443" t="s">
        <v>357</v>
      </c>
    </row>
    <row r="444" spans="1:14" x14ac:dyDescent="0.2">
      <c r="A444" t="s">
        <v>366</v>
      </c>
      <c r="B444" t="str">
        <f t="shared" si="17"/>
        <v>Room 108, Trench J</v>
      </c>
      <c r="C444">
        <v>108</v>
      </c>
      <c r="D444" t="s">
        <v>315</v>
      </c>
      <c r="F444">
        <v>444</v>
      </c>
      <c r="G444" t="s">
        <v>82</v>
      </c>
      <c r="N444" t="s">
        <v>357</v>
      </c>
    </row>
    <row r="445" spans="1:14" x14ac:dyDescent="0.2">
      <c r="A445" t="s">
        <v>366</v>
      </c>
      <c r="B445" t="str">
        <f t="shared" si="17"/>
        <v>Room 108, Trench K</v>
      </c>
      <c r="C445">
        <v>108</v>
      </c>
      <c r="D445" t="s">
        <v>316</v>
      </c>
      <c r="F445">
        <v>445</v>
      </c>
      <c r="G445" t="s">
        <v>82</v>
      </c>
      <c r="N445" t="s">
        <v>357</v>
      </c>
    </row>
    <row r="446" spans="1:14" x14ac:dyDescent="0.2">
      <c r="A446" t="s">
        <v>366</v>
      </c>
      <c r="B446" t="str">
        <f t="shared" si="17"/>
        <v>Room 108, Trench J</v>
      </c>
      <c r="C446">
        <v>108</v>
      </c>
      <c r="D446" t="s">
        <v>315</v>
      </c>
      <c r="F446">
        <v>446</v>
      </c>
      <c r="G446" t="s">
        <v>88</v>
      </c>
      <c r="N446" t="s">
        <v>357</v>
      </c>
    </row>
    <row r="447" spans="1:14" x14ac:dyDescent="0.2">
      <c r="A447" t="s">
        <v>366</v>
      </c>
      <c r="B447" t="str">
        <f t="shared" si="17"/>
        <v>Room 108, Trench K</v>
      </c>
      <c r="C447">
        <v>108</v>
      </c>
      <c r="D447" t="s">
        <v>316</v>
      </c>
      <c r="F447">
        <v>447</v>
      </c>
      <c r="G447" t="s">
        <v>88</v>
      </c>
      <c r="N447" t="s">
        <v>357</v>
      </c>
    </row>
    <row r="448" spans="1:14" x14ac:dyDescent="0.2">
      <c r="A448" t="s">
        <v>366</v>
      </c>
      <c r="B448" t="s">
        <v>367</v>
      </c>
      <c r="D448" t="s">
        <v>228</v>
      </c>
      <c r="E448" t="s">
        <v>312</v>
      </c>
      <c r="F448">
        <v>448</v>
      </c>
      <c r="G448" t="s">
        <v>239</v>
      </c>
      <c r="N448" t="s">
        <v>353</v>
      </c>
    </row>
    <row r="449" spans="1:17" x14ac:dyDescent="0.2">
      <c r="A449" t="s">
        <v>366</v>
      </c>
      <c r="B449" t="str">
        <f t="shared" si="17"/>
        <v>Room 108, Trench L</v>
      </c>
      <c r="C449">
        <v>108</v>
      </c>
      <c r="D449" t="s">
        <v>317</v>
      </c>
      <c r="F449">
        <v>449</v>
      </c>
      <c r="G449" t="s">
        <v>204</v>
      </c>
      <c r="N449" t="s">
        <v>354</v>
      </c>
    </row>
    <row r="450" spans="1:17" x14ac:dyDescent="0.2">
      <c r="A450" t="s">
        <v>366</v>
      </c>
      <c r="B450" t="s">
        <v>367</v>
      </c>
      <c r="D450" t="s">
        <v>228</v>
      </c>
      <c r="E450" t="s">
        <v>312</v>
      </c>
      <c r="F450">
        <v>450</v>
      </c>
      <c r="G450" t="s">
        <v>239</v>
      </c>
      <c r="N450" t="s">
        <v>353</v>
      </c>
      <c r="Q450" t="s">
        <v>314</v>
      </c>
    </row>
    <row r="451" spans="1:17" x14ac:dyDescent="0.2">
      <c r="A451" t="s">
        <v>366</v>
      </c>
      <c r="B451" t="s">
        <v>367</v>
      </c>
      <c r="D451" t="s">
        <v>228</v>
      </c>
      <c r="E451" t="s">
        <v>312</v>
      </c>
      <c r="F451">
        <v>451</v>
      </c>
      <c r="G451" t="s">
        <v>61</v>
      </c>
      <c r="N451" t="s">
        <v>357</v>
      </c>
    </row>
    <row r="452" spans="1:17" x14ac:dyDescent="0.2">
      <c r="A452" t="s">
        <v>366</v>
      </c>
      <c r="B452" t="s">
        <v>367</v>
      </c>
      <c r="D452" t="s">
        <v>228</v>
      </c>
      <c r="E452" t="s">
        <v>312</v>
      </c>
      <c r="F452">
        <v>452</v>
      </c>
      <c r="G452" t="s">
        <v>144</v>
      </c>
      <c r="N452" t="s">
        <v>356</v>
      </c>
    </row>
    <row r="453" spans="1:17" x14ac:dyDescent="0.2">
      <c r="A453" t="s">
        <v>366</v>
      </c>
      <c r="B453" t="str">
        <f t="shared" ref="B453:B454" si="18">_xlfn.CONCAT("Room ", C453, ", Trench ", D453)</f>
        <v>Room 108, Trench L</v>
      </c>
      <c r="C453">
        <v>108</v>
      </c>
      <c r="D453" t="s">
        <v>317</v>
      </c>
      <c r="F453">
        <v>453</v>
      </c>
      <c r="G453" t="s">
        <v>61</v>
      </c>
      <c r="N453" t="s">
        <v>357</v>
      </c>
    </row>
    <row r="454" spans="1:17" x14ac:dyDescent="0.2">
      <c r="A454" t="s">
        <v>366</v>
      </c>
      <c r="B454" t="str">
        <f t="shared" si="18"/>
        <v>Room 108, Trench L</v>
      </c>
      <c r="C454">
        <v>108</v>
      </c>
      <c r="D454" t="s">
        <v>317</v>
      </c>
      <c r="F454">
        <v>454</v>
      </c>
      <c r="G454" t="s">
        <v>48</v>
      </c>
      <c r="N454" t="s">
        <v>357</v>
      </c>
    </row>
    <row r="455" spans="1:17" x14ac:dyDescent="0.2">
      <c r="A455" t="s">
        <v>366</v>
      </c>
      <c r="B455" t="s">
        <v>367</v>
      </c>
      <c r="D455" t="s">
        <v>228</v>
      </c>
      <c r="E455" t="s">
        <v>312</v>
      </c>
      <c r="F455">
        <v>455</v>
      </c>
      <c r="G455" t="s">
        <v>145</v>
      </c>
      <c r="N455" t="s">
        <v>356</v>
      </c>
    </row>
    <row r="456" spans="1:17" x14ac:dyDescent="0.2">
      <c r="A456" t="s">
        <v>366</v>
      </c>
      <c r="B456" t="str">
        <f t="shared" ref="B456" si="19">_xlfn.CONCAT("Room ", C456, ", Trench ", D456)</f>
        <v>Room 108, Trench L</v>
      </c>
      <c r="C456">
        <v>108</v>
      </c>
      <c r="D456" t="s">
        <v>317</v>
      </c>
      <c r="F456">
        <v>456</v>
      </c>
      <c r="G456" t="s">
        <v>82</v>
      </c>
      <c r="N456" t="s">
        <v>357</v>
      </c>
    </row>
    <row r="457" spans="1:17" x14ac:dyDescent="0.2">
      <c r="A457" t="s">
        <v>366</v>
      </c>
      <c r="B457" t="s">
        <v>367</v>
      </c>
      <c r="D457" t="s">
        <v>228</v>
      </c>
      <c r="E457" t="s">
        <v>312</v>
      </c>
      <c r="F457">
        <v>457</v>
      </c>
      <c r="G457" t="s">
        <v>48</v>
      </c>
      <c r="N457" t="s">
        <v>357</v>
      </c>
    </row>
    <row r="458" spans="1:17" x14ac:dyDescent="0.2">
      <c r="A458" t="s">
        <v>366</v>
      </c>
      <c r="B458" t="str">
        <f t="shared" ref="B458:B462" si="20">_xlfn.CONCAT("Room ", C458, ", Trench ", D458)</f>
        <v>Room 108, Trench L</v>
      </c>
      <c r="C458">
        <v>108</v>
      </c>
      <c r="D458" t="s">
        <v>317</v>
      </c>
      <c r="F458">
        <v>458</v>
      </c>
      <c r="G458" t="s">
        <v>88</v>
      </c>
      <c r="N458" t="s">
        <v>357</v>
      </c>
    </row>
    <row r="459" spans="1:17" x14ac:dyDescent="0.2">
      <c r="A459" t="s">
        <v>366</v>
      </c>
      <c r="B459" t="str">
        <f t="shared" si="20"/>
        <v>Room 108, Trench L</v>
      </c>
      <c r="C459">
        <v>108</v>
      </c>
      <c r="D459" t="s">
        <v>317</v>
      </c>
      <c r="F459">
        <v>459</v>
      </c>
      <c r="G459" t="s">
        <v>197</v>
      </c>
      <c r="N459" t="s">
        <v>357</v>
      </c>
    </row>
    <row r="460" spans="1:17" x14ac:dyDescent="0.2">
      <c r="A460" t="s">
        <v>366</v>
      </c>
      <c r="B460" t="str">
        <f t="shared" si="20"/>
        <v>Room 108, Trench L</v>
      </c>
      <c r="C460">
        <v>108</v>
      </c>
      <c r="D460" t="s">
        <v>317</v>
      </c>
      <c r="F460">
        <v>460</v>
      </c>
      <c r="G460" t="s">
        <v>144</v>
      </c>
      <c r="N460" t="s">
        <v>356</v>
      </c>
    </row>
    <row r="461" spans="1:17" x14ac:dyDescent="0.2">
      <c r="A461" t="s">
        <v>366</v>
      </c>
      <c r="B461" t="str">
        <f t="shared" si="20"/>
        <v>Room 108, Trench L</v>
      </c>
      <c r="C461">
        <v>108</v>
      </c>
      <c r="D461" t="s">
        <v>317</v>
      </c>
      <c r="F461">
        <v>461</v>
      </c>
      <c r="G461" t="s">
        <v>145</v>
      </c>
      <c r="N461" t="s">
        <v>356</v>
      </c>
    </row>
    <row r="462" spans="1:17" x14ac:dyDescent="0.2">
      <c r="A462" t="s">
        <v>366</v>
      </c>
      <c r="B462" t="str">
        <f t="shared" si="20"/>
        <v>Room 108, Trench L</v>
      </c>
      <c r="C462">
        <v>108</v>
      </c>
      <c r="D462" t="s">
        <v>317</v>
      </c>
      <c r="F462">
        <v>462</v>
      </c>
      <c r="G462" t="s">
        <v>146</v>
      </c>
      <c r="N462" t="s">
        <v>356</v>
      </c>
    </row>
    <row r="463" spans="1:17" x14ac:dyDescent="0.2">
      <c r="A463" t="s">
        <v>366</v>
      </c>
      <c r="B463" t="s">
        <v>367</v>
      </c>
      <c r="D463" t="s">
        <v>228</v>
      </c>
      <c r="E463" t="s">
        <v>312</v>
      </c>
      <c r="F463">
        <v>463</v>
      </c>
      <c r="G463" t="s">
        <v>240</v>
      </c>
      <c r="N463" t="s">
        <v>356</v>
      </c>
    </row>
    <row r="464" spans="1:17" x14ac:dyDescent="0.2">
      <c r="A464" t="s">
        <v>366</v>
      </c>
      <c r="B464" t="s">
        <v>367</v>
      </c>
      <c r="D464" t="s">
        <v>228</v>
      </c>
      <c r="E464" t="s">
        <v>312</v>
      </c>
      <c r="F464">
        <v>464</v>
      </c>
      <c r="G464" t="s">
        <v>82</v>
      </c>
      <c r="N464" t="s">
        <v>357</v>
      </c>
    </row>
    <row r="465" spans="1:14" x14ac:dyDescent="0.2">
      <c r="A465" t="s">
        <v>366</v>
      </c>
      <c r="B465" t="str">
        <f t="shared" ref="B465:B500" si="21">_xlfn.CONCAT("Room ", C465, ", Trench ", D465)</f>
        <v>Room 101, Trench M</v>
      </c>
      <c r="C465">
        <v>101</v>
      </c>
      <c r="D465" t="s">
        <v>318</v>
      </c>
      <c r="F465">
        <v>465</v>
      </c>
      <c r="G465" t="s">
        <v>204</v>
      </c>
      <c r="N465" t="s">
        <v>354</v>
      </c>
    </row>
    <row r="466" spans="1:14" x14ac:dyDescent="0.2">
      <c r="A466" t="s">
        <v>366</v>
      </c>
      <c r="B466" t="str">
        <f t="shared" si="21"/>
        <v>Room 107, Trench N</v>
      </c>
      <c r="C466">
        <v>107</v>
      </c>
      <c r="D466" t="s">
        <v>319</v>
      </c>
      <c r="F466">
        <v>466</v>
      </c>
      <c r="G466" t="s">
        <v>204</v>
      </c>
      <c r="N466" t="s">
        <v>354</v>
      </c>
    </row>
    <row r="467" spans="1:14" x14ac:dyDescent="0.2">
      <c r="A467" t="s">
        <v>366</v>
      </c>
      <c r="B467" t="str">
        <f t="shared" si="21"/>
        <v>Room 101, Trench M</v>
      </c>
      <c r="C467">
        <v>101</v>
      </c>
      <c r="D467" t="s">
        <v>318</v>
      </c>
      <c r="F467">
        <v>467</v>
      </c>
      <c r="G467" t="s">
        <v>198</v>
      </c>
      <c r="N467" t="s">
        <v>354</v>
      </c>
    </row>
    <row r="468" spans="1:14" x14ac:dyDescent="0.2">
      <c r="A468" t="s">
        <v>366</v>
      </c>
      <c r="B468" t="str">
        <f t="shared" si="21"/>
        <v>Room 101, Trench M</v>
      </c>
      <c r="C468">
        <v>101</v>
      </c>
      <c r="D468" t="s">
        <v>318</v>
      </c>
      <c r="F468">
        <v>468</v>
      </c>
      <c r="G468" t="s">
        <v>241</v>
      </c>
      <c r="N468" t="s">
        <v>353</v>
      </c>
    </row>
    <row r="469" spans="1:14" x14ac:dyDescent="0.2">
      <c r="A469" t="s">
        <v>366</v>
      </c>
      <c r="B469" t="str">
        <f t="shared" si="21"/>
        <v>Room 107, Trench N</v>
      </c>
      <c r="C469">
        <v>107</v>
      </c>
      <c r="D469" t="s">
        <v>319</v>
      </c>
      <c r="F469">
        <v>469</v>
      </c>
      <c r="G469" t="s">
        <v>61</v>
      </c>
      <c r="N469" t="s">
        <v>357</v>
      </c>
    </row>
    <row r="470" spans="1:14" x14ac:dyDescent="0.2">
      <c r="A470" t="s">
        <v>366</v>
      </c>
      <c r="B470" t="str">
        <f t="shared" si="21"/>
        <v>Room 101, Trench M</v>
      </c>
      <c r="C470">
        <v>101</v>
      </c>
      <c r="D470" t="s">
        <v>318</v>
      </c>
      <c r="F470">
        <v>470</v>
      </c>
      <c r="G470" t="s">
        <v>173</v>
      </c>
      <c r="N470" t="s">
        <v>354</v>
      </c>
    </row>
    <row r="471" spans="1:14" x14ac:dyDescent="0.2">
      <c r="A471" t="s">
        <v>366</v>
      </c>
      <c r="B471" t="str">
        <f t="shared" si="21"/>
        <v>Room 101, Trench M</v>
      </c>
      <c r="C471">
        <v>101</v>
      </c>
      <c r="D471" t="s">
        <v>318</v>
      </c>
      <c r="F471">
        <v>471</v>
      </c>
      <c r="G471" t="s">
        <v>231</v>
      </c>
      <c r="N471" t="s">
        <v>357</v>
      </c>
    </row>
    <row r="472" spans="1:14" x14ac:dyDescent="0.2">
      <c r="A472" t="s">
        <v>366</v>
      </c>
      <c r="B472" t="str">
        <f t="shared" si="21"/>
        <v>Room 101, Trench M</v>
      </c>
      <c r="C472">
        <v>101</v>
      </c>
      <c r="D472" t="s">
        <v>318</v>
      </c>
      <c r="F472">
        <v>472</v>
      </c>
      <c r="G472" t="s">
        <v>58</v>
      </c>
      <c r="N472" t="s">
        <v>357</v>
      </c>
    </row>
    <row r="473" spans="1:14" x14ac:dyDescent="0.2">
      <c r="A473" t="s">
        <v>366</v>
      </c>
      <c r="B473" t="str">
        <f t="shared" si="21"/>
        <v>Room 101, Trench M</v>
      </c>
      <c r="C473">
        <v>101</v>
      </c>
      <c r="D473" t="s">
        <v>318</v>
      </c>
      <c r="F473">
        <v>473</v>
      </c>
      <c r="G473" t="s">
        <v>76</v>
      </c>
      <c r="N473" t="s">
        <v>357</v>
      </c>
    </row>
    <row r="474" spans="1:14" x14ac:dyDescent="0.2">
      <c r="A474" t="s">
        <v>366</v>
      </c>
      <c r="B474" t="str">
        <f t="shared" si="21"/>
        <v>Room 101, Trench M</v>
      </c>
      <c r="C474">
        <v>101</v>
      </c>
      <c r="D474" t="s">
        <v>318</v>
      </c>
      <c r="F474">
        <v>474</v>
      </c>
      <c r="G474" t="s">
        <v>218</v>
      </c>
      <c r="N474" t="s">
        <v>357</v>
      </c>
    </row>
    <row r="475" spans="1:14" x14ac:dyDescent="0.2">
      <c r="A475" t="s">
        <v>366</v>
      </c>
      <c r="B475" t="str">
        <f t="shared" si="21"/>
        <v>Room 101, Trench M</v>
      </c>
      <c r="C475">
        <v>101</v>
      </c>
      <c r="D475" t="s">
        <v>318</v>
      </c>
      <c r="F475">
        <v>475</v>
      </c>
      <c r="G475" t="s">
        <v>223</v>
      </c>
      <c r="N475" t="s">
        <v>357</v>
      </c>
    </row>
    <row r="476" spans="1:14" x14ac:dyDescent="0.2">
      <c r="A476" t="s">
        <v>366</v>
      </c>
      <c r="B476" t="str">
        <f t="shared" si="21"/>
        <v>Room 107, Trench N</v>
      </c>
      <c r="C476">
        <v>107</v>
      </c>
      <c r="D476" t="s">
        <v>319</v>
      </c>
      <c r="F476">
        <v>476</v>
      </c>
      <c r="G476" t="s">
        <v>242</v>
      </c>
    </row>
    <row r="477" spans="1:14" x14ac:dyDescent="0.2">
      <c r="A477" t="s">
        <v>366</v>
      </c>
      <c r="B477" t="str">
        <f t="shared" si="21"/>
        <v>Room 107, Trench N</v>
      </c>
      <c r="C477">
        <v>107</v>
      </c>
      <c r="D477" t="s">
        <v>319</v>
      </c>
      <c r="F477">
        <v>477</v>
      </c>
      <c r="G477" t="s">
        <v>243</v>
      </c>
    </row>
    <row r="478" spans="1:14" x14ac:dyDescent="0.2">
      <c r="A478" t="s">
        <v>366</v>
      </c>
      <c r="B478" t="str">
        <f t="shared" si="21"/>
        <v>Room 101, Trench M</v>
      </c>
      <c r="C478">
        <v>101</v>
      </c>
      <c r="D478" t="s">
        <v>318</v>
      </c>
      <c r="F478">
        <v>478</v>
      </c>
      <c r="G478" t="s">
        <v>238</v>
      </c>
      <c r="N478" t="s">
        <v>356</v>
      </c>
    </row>
    <row r="479" spans="1:14" x14ac:dyDescent="0.2">
      <c r="A479" t="s">
        <v>366</v>
      </c>
      <c r="B479" t="str">
        <f t="shared" si="21"/>
        <v>Room 107, Trench N</v>
      </c>
      <c r="C479">
        <v>107</v>
      </c>
      <c r="D479" t="s">
        <v>319</v>
      </c>
      <c r="F479">
        <v>479</v>
      </c>
      <c r="G479" t="s">
        <v>48</v>
      </c>
      <c r="N479" t="s">
        <v>357</v>
      </c>
    </row>
    <row r="480" spans="1:14" x14ac:dyDescent="0.2">
      <c r="A480" t="s">
        <v>366</v>
      </c>
      <c r="B480" t="str">
        <f t="shared" si="21"/>
        <v>Room 101, Trench M</v>
      </c>
      <c r="C480">
        <v>101</v>
      </c>
      <c r="D480" t="s">
        <v>318</v>
      </c>
      <c r="F480">
        <v>480</v>
      </c>
      <c r="G480" t="s">
        <v>207</v>
      </c>
      <c r="N480" t="s">
        <v>356</v>
      </c>
    </row>
    <row r="481" spans="1:14" x14ac:dyDescent="0.2">
      <c r="A481" t="s">
        <v>366</v>
      </c>
      <c r="B481" t="str">
        <f t="shared" si="21"/>
        <v>Room 107, Trench N</v>
      </c>
      <c r="C481">
        <v>107</v>
      </c>
      <c r="D481" t="s">
        <v>319</v>
      </c>
      <c r="F481">
        <v>481</v>
      </c>
      <c r="G481" t="s">
        <v>198</v>
      </c>
      <c r="N481" t="s">
        <v>354</v>
      </c>
    </row>
    <row r="482" spans="1:14" x14ac:dyDescent="0.2">
      <c r="A482" t="s">
        <v>366</v>
      </c>
      <c r="B482" t="str">
        <f t="shared" si="21"/>
        <v>Room 103, Trench O</v>
      </c>
      <c r="C482">
        <v>103</v>
      </c>
      <c r="D482" t="s">
        <v>320</v>
      </c>
      <c r="F482">
        <v>482</v>
      </c>
      <c r="G482" t="s">
        <v>204</v>
      </c>
      <c r="N482" t="s">
        <v>354</v>
      </c>
    </row>
    <row r="483" spans="1:14" x14ac:dyDescent="0.2">
      <c r="A483" t="s">
        <v>366</v>
      </c>
      <c r="B483" t="str">
        <f t="shared" si="21"/>
        <v>Room 103, Trench O</v>
      </c>
      <c r="C483">
        <v>103</v>
      </c>
      <c r="D483" t="s">
        <v>320</v>
      </c>
      <c r="F483">
        <v>483</v>
      </c>
      <c r="G483" t="s">
        <v>61</v>
      </c>
      <c r="N483" t="s">
        <v>357</v>
      </c>
    </row>
    <row r="484" spans="1:14" x14ac:dyDescent="0.2">
      <c r="A484" t="s">
        <v>366</v>
      </c>
      <c r="B484" t="str">
        <f t="shared" si="21"/>
        <v>Room 101, Trench M</v>
      </c>
      <c r="C484">
        <v>101</v>
      </c>
      <c r="D484" t="s">
        <v>318</v>
      </c>
      <c r="F484">
        <v>484</v>
      </c>
      <c r="G484" t="s">
        <v>198</v>
      </c>
      <c r="N484" t="s">
        <v>354</v>
      </c>
    </row>
    <row r="485" spans="1:14" x14ac:dyDescent="0.2">
      <c r="A485" t="s">
        <v>366</v>
      </c>
      <c r="B485" t="str">
        <f t="shared" si="21"/>
        <v>Room 103, Trench O</v>
      </c>
      <c r="C485">
        <v>103</v>
      </c>
      <c r="D485" t="s">
        <v>320</v>
      </c>
      <c r="F485">
        <v>485</v>
      </c>
      <c r="G485" t="s">
        <v>48</v>
      </c>
      <c r="N485" t="s">
        <v>357</v>
      </c>
    </row>
    <row r="486" spans="1:14" x14ac:dyDescent="0.2">
      <c r="A486" t="s">
        <v>366</v>
      </c>
      <c r="B486" t="str">
        <f t="shared" si="21"/>
        <v>Room 107, Trench N</v>
      </c>
      <c r="C486">
        <v>107</v>
      </c>
      <c r="D486" t="s">
        <v>319</v>
      </c>
      <c r="F486">
        <v>486</v>
      </c>
      <c r="G486" t="s">
        <v>58</v>
      </c>
      <c r="N486" t="s">
        <v>357</v>
      </c>
    </row>
    <row r="487" spans="1:14" x14ac:dyDescent="0.2">
      <c r="A487" t="s">
        <v>366</v>
      </c>
      <c r="B487" t="str">
        <f t="shared" si="21"/>
        <v>Room 103, Trench O</v>
      </c>
      <c r="C487">
        <v>103</v>
      </c>
      <c r="D487" t="s">
        <v>320</v>
      </c>
      <c r="F487">
        <v>487</v>
      </c>
      <c r="G487" t="s">
        <v>82</v>
      </c>
      <c r="N487" t="s">
        <v>357</v>
      </c>
    </row>
    <row r="488" spans="1:14" x14ac:dyDescent="0.2">
      <c r="A488" t="s">
        <v>366</v>
      </c>
      <c r="B488" t="str">
        <f t="shared" si="21"/>
        <v>Room 107, Trench N</v>
      </c>
      <c r="C488">
        <v>107</v>
      </c>
      <c r="D488" t="s">
        <v>319</v>
      </c>
      <c r="F488">
        <v>488</v>
      </c>
      <c r="G488" t="s">
        <v>173</v>
      </c>
      <c r="N488" t="s">
        <v>354</v>
      </c>
    </row>
    <row r="489" spans="1:14" x14ac:dyDescent="0.2">
      <c r="A489" t="s">
        <v>366</v>
      </c>
      <c r="B489" t="str">
        <f t="shared" si="21"/>
        <v>Room 101, Trench M</v>
      </c>
      <c r="C489">
        <v>101</v>
      </c>
      <c r="D489" t="s">
        <v>318</v>
      </c>
      <c r="F489">
        <v>489</v>
      </c>
      <c r="G489" t="s">
        <v>173</v>
      </c>
      <c r="N489" t="s">
        <v>354</v>
      </c>
    </row>
    <row r="490" spans="1:14" x14ac:dyDescent="0.2">
      <c r="A490" t="s">
        <v>366</v>
      </c>
      <c r="B490" t="str">
        <f t="shared" si="21"/>
        <v>Room 107, Trench N</v>
      </c>
      <c r="C490" s="2">
        <v>107</v>
      </c>
      <c r="D490" s="2" t="s">
        <v>319</v>
      </c>
      <c r="F490">
        <v>490</v>
      </c>
      <c r="G490" t="s">
        <v>173</v>
      </c>
      <c r="N490" t="s">
        <v>354</v>
      </c>
    </row>
    <row r="491" spans="1:14" x14ac:dyDescent="0.2">
      <c r="A491" t="s">
        <v>366</v>
      </c>
      <c r="B491" t="str">
        <f t="shared" si="21"/>
        <v>Room 107, Trench N</v>
      </c>
      <c r="C491" s="2">
        <v>107</v>
      </c>
      <c r="D491" s="2" t="s">
        <v>319</v>
      </c>
      <c r="F491">
        <v>491</v>
      </c>
      <c r="G491" t="s">
        <v>244</v>
      </c>
      <c r="N491" t="s">
        <v>353</v>
      </c>
    </row>
    <row r="492" spans="1:14" x14ac:dyDescent="0.2">
      <c r="A492" t="s">
        <v>366</v>
      </c>
      <c r="B492" t="str">
        <f t="shared" si="21"/>
        <v>Room 101, Trench M</v>
      </c>
      <c r="C492">
        <v>101</v>
      </c>
      <c r="D492" t="s">
        <v>318</v>
      </c>
      <c r="F492">
        <v>492</v>
      </c>
      <c r="G492" t="s">
        <v>218</v>
      </c>
      <c r="N492" t="s">
        <v>357</v>
      </c>
    </row>
    <row r="493" spans="1:14" x14ac:dyDescent="0.2">
      <c r="A493" t="s">
        <v>366</v>
      </c>
      <c r="B493" t="str">
        <f t="shared" si="21"/>
        <v>Room 101, Trench M</v>
      </c>
      <c r="C493">
        <v>101</v>
      </c>
      <c r="D493" t="s">
        <v>318</v>
      </c>
      <c r="F493">
        <v>493</v>
      </c>
      <c r="G493" t="s">
        <v>223</v>
      </c>
      <c r="N493" t="s">
        <v>357</v>
      </c>
    </row>
    <row r="494" spans="1:14" x14ac:dyDescent="0.2">
      <c r="A494" t="s">
        <v>366</v>
      </c>
      <c r="B494" t="str">
        <f t="shared" si="21"/>
        <v>Room 107, Trench N</v>
      </c>
      <c r="C494" s="2">
        <v>107</v>
      </c>
      <c r="D494" s="2" t="s">
        <v>319</v>
      </c>
      <c r="F494">
        <v>494</v>
      </c>
      <c r="G494" t="s">
        <v>218</v>
      </c>
      <c r="N494" t="s">
        <v>357</v>
      </c>
    </row>
    <row r="495" spans="1:14" x14ac:dyDescent="0.2">
      <c r="A495" t="s">
        <v>366</v>
      </c>
      <c r="B495" t="str">
        <f t="shared" si="21"/>
        <v>Room 101, Trench M</v>
      </c>
      <c r="C495">
        <v>101</v>
      </c>
      <c r="D495" t="s">
        <v>318</v>
      </c>
      <c r="F495">
        <v>495</v>
      </c>
      <c r="G495" t="s">
        <v>245</v>
      </c>
      <c r="N495" t="s">
        <v>357</v>
      </c>
    </row>
    <row r="496" spans="1:14" x14ac:dyDescent="0.2">
      <c r="A496" t="s">
        <v>366</v>
      </c>
      <c r="B496" t="str">
        <f t="shared" si="21"/>
        <v>Room 107, Trench N</v>
      </c>
      <c r="C496" s="2">
        <v>107</v>
      </c>
      <c r="D496" s="2" t="s">
        <v>319</v>
      </c>
      <c r="F496">
        <v>496</v>
      </c>
      <c r="G496" t="s">
        <v>223</v>
      </c>
      <c r="N496" t="s">
        <v>357</v>
      </c>
    </row>
    <row r="497" spans="1:14" x14ac:dyDescent="0.2">
      <c r="A497" t="s">
        <v>366</v>
      </c>
      <c r="B497" t="str">
        <f t="shared" si="21"/>
        <v>Room 107, Trench N</v>
      </c>
      <c r="C497" s="2">
        <v>107</v>
      </c>
      <c r="D497" s="2" t="s">
        <v>319</v>
      </c>
      <c r="F497">
        <v>497</v>
      </c>
      <c r="G497" t="s">
        <v>245</v>
      </c>
      <c r="N497" t="s">
        <v>357</v>
      </c>
    </row>
    <row r="498" spans="1:14" x14ac:dyDescent="0.2">
      <c r="A498" t="s">
        <v>366</v>
      </c>
      <c r="B498" t="str">
        <f t="shared" si="21"/>
        <v>Room 107, Trench N</v>
      </c>
      <c r="C498" s="2">
        <v>107</v>
      </c>
      <c r="D498" s="2" t="s">
        <v>319</v>
      </c>
      <c r="F498">
        <v>498</v>
      </c>
      <c r="G498" t="s">
        <v>14</v>
      </c>
      <c r="N498" t="s">
        <v>358</v>
      </c>
    </row>
    <row r="499" spans="1:14" x14ac:dyDescent="0.2">
      <c r="A499" t="s">
        <v>366</v>
      </c>
      <c r="B499" t="str">
        <f t="shared" si="21"/>
        <v>Room 107, Trench N</v>
      </c>
      <c r="C499" s="2">
        <v>107</v>
      </c>
      <c r="D499" s="2" t="s">
        <v>319</v>
      </c>
      <c r="F499">
        <v>499</v>
      </c>
      <c r="G499" t="s">
        <v>235</v>
      </c>
      <c r="N499" t="s">
        <v>358</v>
      </c>
    </row>
    <row r="500" spans="1:14" x14ac:dyDescent="0.2">
      <c r="A500" t="s">
        <v>366</v>
      </c>
      <c r="B500" t="str">
        <f t="shared" si="21"/>
        <v>Room 104, Trench S</v>
      </c>
      <c r="C500" s="2">
        <v>104</v>
      </c>
      <c r="D500" s="2" t="s">
        <v>321</v>
      </c>
      <c r="F500">
        <v>500</v>
      </c>
      <c r="G500" t="s">
        <v>246</v>
      </c>
      <c r="N500" t="s">
        <v>357</v>
      </c>
    </row>
    <row r="501" spans="1:14" x14ac:dyDescent="0.2">
      <c r="A501" t="s">
        <v>366</v>
      </c>
      <c r="F501">
        <v>501</v>
      </c>
    </row>
    <row r="502" spans="1:14" x14ac:dyDescent="0.2">
      <c r="A502" t="s">
        <v>366</v>
      </c>
      <c r="F502">
        <v>502</v>
      </c>
    </row>
    <row r="503" spans="1:14" x14ac:dyDescent="0.2">
      <c r="A503" t="s">
        <v>366</v>
      </c>
      <c r="F503">
        <v>503</v>
      </c>
    </row>
    <row r="504" spans="1:14" x14ac:dyDescent="0.2">
      <c r="A504" t="s">
        <v>366</v>
      </c>
      <c r="F504">
        <v>504</v>
      </c>
    </row>
    <row r="505" spans="1:14" x14ac:dyDescent="0.2">
      <c r="A505" t="s">
        <v>366</v>
      </c>
      <c r="B505" t="str">
        <f t="shared" ref="B505:B549" si="22">_xlfn.CONCAT("Room ", C505, ", Trench ", D505)</f>
        <v>Room 101, Trench P</v>
      </c>
      <c r="C505">
        <v>101</v>
      </c>
      <c r="D505" t="s">
        <v>322</v>
      </c>
      <c r="F505">
        <v>505</v>
      </c>
      <c r="G505" t="s">
        <v>231</v>
      </c>
      <c r="N505" t="s">
        <v>357</v>
      </c>
    </row>
    <row r="506" spans="1:14" x14ac:dyDescent="0.2">
      <c r="A506" t="s">
        <v>366</v>
      </c>
      <c r="B506" t="str">
        <f t="shared" si="22"/>
        <v>Room 104, Trench S</v>
      </c>
      <c r="C506">
        <v>104</v>
      </c>
      <c r="D506" t="s">
        <v>321</v>
      </c>
      <c r="F506">
        <v>506</v>
      </c>
      <c r="G506" t="s">
        <v>204</v>
      </c>
      <c r="N506" t="s">
        <v>354</v>
      </c>
    </row>
    <row r="507" spans="1:14" x14ac:dyDescent="0.2">
      <c r="A507" t="s">
        <v>366</v>
      </c>
      <c r="B507" t="str">
        <f t="shared" si="22"/>
        <v>Room 104, Trench S</v>
      </c>
      <c r="C507">
        <v>104</v>
      </c>
      <c r="D507" t="s">
        <v>321</v>
      </c>
      <c r="F507">
        <v>507</v>
      </c>
      <c r="G507" t="s">
        <v>204</v>
      </c>
      <c r="N507" t="s">
        <v>354</v>
      </c>
    </row>
    <row r="508" spans="1:14" x14ac:dyDescent="0.2">
      <c r="A508" t="s">
        <v>366</v>
      </c>
      <c r="B508" t="str">
        <f t="shared" si="22"/>
        <v>Room 105, Trench R</v>
      </c>
      <c r="C508">
        <v>105</v>
      </c>
      <c r="D508" t="s">
        <v>323</v>
      </c>
      <c r="F508">
        <v>508</v>
      </c>
      <c r="G508" t="s">
        <v>231</v>
      </c>
      <c r="N508" t="s">
        <v>357</v>
      </c>
    </row>
    <row r="509" spans="1:14" x14ac:dyDescent="0.2">
      <c r="A509" t="s">
        <v>366</v>
      </c>
      <c r="B509" t="str">
        <f t="shared" si="22"/>
        <v>Room 104, Trench Q</v>
      </c>
      <c r="C509">
        <v>104</v>
      </c>
      <c r="D509" t="s">
        <v>324</v>
      </c>
      <c r="F509">
        <v>509</v>
      </c>
      <c r="G509" t="s">
        <v>231</v>
      </c>
      <c r="N509" t="s">
        <v>357</v>
      </c>
    </row>
    <row r="510" spans="1:14" x14ac:dyDescent="0.2">
      <c r="A510" t="s">
        <v>366</v>
      </c>
      <c r="B510" t="str">
        <f t="shared" si="22"/>
        <v>Room 101, Trench P</v>
      </c>
      <c r="C510">
        <v>101</v>
      </c>
      <c r="D510" t="s">
        <v>322</v>
      </c>
      <c r="F510">
        <v>510</v>
      </c>
      <c r="G510" t="s">
        <v>247</v>
      </c>
    </row>
    <row r="511" spans="1:14" x14ac:dyDescent="0.2">
      <c r="A511" t="s">
        <v>366</v>
      </c>
      <c r="B511" t="str">
        <f t="shared" si="22"/>
        <v>Room 101, Trench P</v>
      </c>
      <c r="C511">
        <v>101</v>
      </c>
      <c r="D511" t="s">
        <v>322</v>
      </c>
      <c r="F511">
        <v>511</v>
      </c>
      <c r="G511" t="s">
        <v>247</v>
      </c>
    </row>
    <row r="512" spans="1:14" x14ac:dyDescent="0.2">
      <c r="A512" t="s">
        <v>366</v>
      </c>
      <c r="B512" t="str">
        <f t="shared" si="22"/>
        <v>Room 104, Trench S</v>
      </c>
      <c r="C512">
        <v>104</v>
      </c>
      <c r="D512" t="s">
        <v>321</v>
      </c>
      <c r="F512">
        <v>512</v>
      </c>
      <c r="G512" t="s">
        <v>231</v>
      </c>
      <c r="N512" t="s">
        <v>357</v>
      </c>
    </row>
    <row r="513" spans="1:14" x14ac:dyDescent="0.2">
      <c r="A513" t="s">
        <v>366</v>
      </c>
      <c r="B513" t="str">
        <f t="shared" si="22"/>
        <v>Room 105, Trench R</v>
      </c>
      <c r="C513">
        <v>105</v>
      </c>
      <c r="D513" t="s">
        <v>323</v>
      </c>
      <c r="F513">
        <v>513</v>
      </c>
      <c r="G513" t="s">
        <v>198</v>
      </c>
      <c r="N513" t="s">
        <v>354</v>
      </c>
    </row>
    <row r="514" spans="1:14" x14ac:dyDescent="0.2">
      <c r="A514" t="s">
        <v>366</v>
      </c>
      <c r="B514" t="str">
        <f t="shared" si="22"/>
        <v>Room 101, Trench P</v>
      </c>
      <c r="C514">
        <v>101</v>
      </c>
      <c r="D514" t="s">
        <v>322</v>
      </c>
      <c r="F514">
        <v>514</v>
      </c>
      <c r="G514" t="s">
        <v>233</v>
      </c>
      <c r="N514" t="s">
        <v>357</v>
      </c>
    </row>
    <row r="515" spans="1:14" x14ac:dyDescent="0.2">
      <c r="A515" t="s">
        <v>366</v>
      </c>
      <c r="B515" t="str">
        <f t="shared" si="22"/>
        <v>Room 105, Trench R</v>
      </c>
      <c r="C515">
        <v>105</v>
      </c>
      <c r="D515" t="s">
        <v>323</v>
      </c>
      <c r="F515">
        <v>515</v>
      </c>
      <c r="G515" t="s">
        <v>233</v>
      </c>
      <c r="N515" t="s">
        <v>357</v>
      </c>
    </row>
    <row r="516" spans="1:14" x14ac:dyDescent="0.2">
      <c r="A516" t="s">
        <v>366</v>
      </c>
      <c r="B516" t="str">
        <f t="shared" si="22"/>
        <v>Room 105, Trench R</v>
      </c>
      <c r="C516">
        <v>105</v>
      </c>
      <c r="D516" t="s">
        <v>323</v>
      </c>
      <c r="F516">
        <v>516</v>
      </c>
      <c r="G516" t="s">
        <v>173</v>
      </c>
      <c r="N516" t="s">
        <v>354</v>
      </c>
    </row>
    <row r="517" spans="1:14" x14ac:dyDescent="0.2">
      <c r="A517" t="s">
        <v>366</v>
      </c>
      <c r="B517" t="str">
        <f t="shared" si="22"/>
        <v>Room 105, Trench R</v>
      </c>
      <c r="C517">
        <v>105</v>
      </c>
      <c r="D517" t="s">
        <v>323</v>
      </c>
      <c r="F517">
        <v>517</v>
      </c>
      <c r="G517" t="s">
        <v>248</v>
      </c>
      <c r="N517" t="s">
        <v>357</v>
      </c>
    </row>
    <row r="518" spans="1:14" x14ac:dyDescent="0.2">
      <c r="A518" t="s">
        <v>366</v>
      </c>
      <c r="B518" t="str">
        <f t="shared" si="22"/>
        <v>Room 105, Trench R</v>
      </c>
      <c r="C518">
        <v>105</v>
      </c>
      <c r="D518" t="s">
        <v>323</v>
      </c>
      <c r="F518">
        <v>518</v>
      </c>
      <c r="G518" t="s">
        <v>238</v>
      </c>
      <c r="N518" t="s">
        <v>356</v>
      </c>
    </row>
    <row r="519" spans="1:14" x14ac:dyDescent="0.2">
      <c r="A519" t="s">
        <v>366</v>
      </c>
      <c r="B519" t="str">
        <f t="shared" si="22"/>
        <v>Room 104, Trench Q</v>
      </c>
      <c r="C519">
        <v>104</v>
      </c>
      <c r="D519" t="s">
        <v>324</v>
      </c>
      <c r="F519">
        <v>519</v>
      </c>
      <c r="G519" t="s">
        <v>244</v>
      </c>
      <c r="N519" t="s">
        <v>353</v>
      </c>
    </row>
    <row r="520" spans="1:14" x14ac:dyDescent="0.2">
      <c r="A520" t="s">
        <v>366</v>
      </c>
      <c r="B520" t="str">
        <f t="shared" si="22"/>
        <v>Room 101, Trench T</v>
      </c>
      <c r="C520">
        <v>101</v>
      </c>
      <c r="D520" t="s">
        <v>325</v>
      </c>
      <c r="F520">
        <v>520</v>
      </c>
      <c r="G520" t="s">
        <v>204</v>
      </c>
      <c r="N520" t="s">
        <v>354</v>
      </c>
    </row>
    <row r="521" spans="1:14" x14ac:dyDescent="0.2">
      <c r="A521" t="s">
        <v>366</v>
      </c>
      <c r="B521" t="str">
        <f t="shared" si="22"/>
        <v>Room 104, Trench Q</v>
      </c>
      <c r="C521">
        <v>104</v>
      </c>
      <c r="D521" t="s">
        <v>324</v>
      </c>
      <c r="F521">
        <v>521</v>
      </c>
      <c r="G521" t="s">
        <v>198</v>
      </c>
      <c r="N521" t="s">
        <v>354</v>
      </c>
    </row>
    <row r="522" spans="1:14" x14ac:dyDescent="0.2">
      <c r="A522" t="s">
        <v>366</v>
      </c>
      <c r="B522" t="str">
        <f t="shared" si="22"/>
        <v>Room 101, Trench T</v>
      </c>
      <c r="C522">
        <v>101</v>
      </c>
      <c r="D522" t="s">
        <v>325</v>
      </c>
      <c r="F522">
        <v>522</v>
      </c>
      <c r="G522" t="s">
        <v>231</v>
      </c>
      <c r="N522" t="s">
        <v>357</v>
      </c>
    </row>
    <row r="523" spans="1:14" x14ac:dyDescent="0.2">
      <c r="A523" t="s">
        <v>366</v>
      </c>
      <c r="B523" t="str">
        <f t="shared" si="22"/>
        <v>Room 104, Trench Q</v>
      </c>
      <c r="C523">
        <v>104</v>
      </c>
      <c r="D523" t="s">
        <v>324</v>
      </c>
      <c r="F523">
        <v>523</v>
      </c>
      <c r="G523" t="s">
        <v>233</v>
      </c>
      <c r="N523" t="s">
        <v>357</v>
      </c>
    </row>
    <row r="524" spans="1:14" x14ac:dyDescent="0.2">
      <c r="A524" t="s">
        <v>366</v>
      </c>
      <c r="B524" t="str">
        <f t="shared" si="22"/>
        <v>Room 101, Trench T</v>
      </c>
      <c r="C524">
        <v>101</v>
      </c>
      <c r="D524" t="s">
        <v>325</v>
      </c>
      <c r="F524">
        <v>524</v>
      </c>
      <c r="G524" t="s">
        <v>233</v>
      </c>
      <c r="N524" t="s">
        <v>357</v>
      </c>
    </row>
    <row r="525" spans="1:14" ht="16" x14ac:dyDescent="0.2">
      <c r="A525" t="s">
        <v>366</v>
      </c>
      <c r="B525" t="str">
        <f t="shared" si="22"/>
        <v>Room 101, Trench T</v>
      </c>
      <c r="C525">
        <v>101</v>
      </c>
      <c r="D525" t="s">
        <v>325</v>
      </c>
      <c r="F525">
        <v>525</v>
      </c>
      <c r="G525" t="s">
        <v>249</v>
      </c>
      <c r="M525" s="3" t="s">
        <v>359</v>
      </c>
      <c r="N525" t="s">
        <v>354</v>
      </c>
    </row>
    <row r="526" spans="1:14" x14ac:dyDescent="0.2">
      <c r="A526" t="s">
        <v>366</v>
      </c>
      <c r="B526" t="str">
        <f t="shared" si="22"/>
        <v>Room 104, Trench U</v>
      </c>
      <c r="C526">
        <v>104</v>
      </c>
      <c r="D526" t="s">
        <v>326</v>
      </c>
      <c r="F526">
        <v>526</v>
      </c>
      <c r="G526" t="s">
        <v>204</v>
      </c>
      <c r="N526" t="s">
        <v>354</v>
      </c>
    </row>
    <row r="527" spans="1:14" x14ac:dyDescent="0.2">
      <c r="A527" t="s">
        <v>366</v>
      </c>
      <c r="B527" t="str">
        <f t="shared" si="22"/>
        <v>Room 101, Trench T</v>
      </c>
      <c r="C527">
        <v>101</v>
      </c>
      <c r="D527" t="s">
        <v>325</v>
      </c>
      <c r="F527">
        <v>527</v>
      </c>
      <c r="G527" t="s">
        <v>248</v>
      </c>
      <c r="N527" t="s">
        <v>357</v>
      </c>
    </row>
    <row r="528" spans="1:14" ht="16" x14ac:dyDescent="0.2">
      <c r="A528" t="s">
        <v>366</v>
      </c>
      <c r="B528" t="str">
        <f t="shared" si="22"/>
        <v>Room 104, Trench Q</v>
      </c>
      <c r="C528">
        <v>104</v>
      </c>
      <c r="D528" t="s">
        <v>324</v>
      </c>
      <c r="F528">
        <v>528</v>
      </c>
      <c r="G528" t="s">
        <v>249</v>
      </c>
      <c r="M528" s="3" t="s">
        <v>359</v>
      </c>
      <c r="N528" t="s">
        <v>354</v>
      </c>
    </row>
    <row r="529" spans="1:14" x14ac:dyDescent="0.2">
      <c r="A529" t="s">
        <v>366</v>
      </c>
      <c r="B529" t="str">
        <f t="shared" si="22"/>
        <v>Room 104, Trench Q</v>
      </c>
      <c r="C529">
        <v>104</v>
      </c>
      <c r="D529" t="s">
        <v>324</v>
      </c>
      <c r="F529">
        <v>529</v>
      </c>
      <c r="G529" t="s">
        <v>173</v>
      </c>
      <c r="N529" t="s">
        <v>354</v>
      </c>
    </row>
    <row r="530" spans="1:14" x14ac:dyDescent="0.2">
      <c r="A530" t="s">
        <v>366</v>
      </c>
      <c r="B530" t="str">
        <f t="shared" si="22"/>
        <v>Room 104, Trench U</v>
      </c>
      <c r="C530">
        <v>104</v>
      </c>
      <c r="D530" t="s">
        <v>326</v>
      </c>
      <c r="F530">
        <v>530</v>
      </c>
      <c r="G530" t="s">
        <v>231</v>
      </c>
      <c r="N530" t="s">
        <v>357</v>
      </c>
    </row>
    <row r="531" spans="1:14" x14ac:dyDescent="0.2">
      <c r="A531" t="s">
        <v>366</v>
      </c>
      <c r="B531" t="str">
        <f t="shared" si="22"/>
        <v>Room 104, Trench U</v>
      </c>
      <c r="C531">
        <v>104</v>
      </c>
      <c r="D531" t="s">
        <v>326</v>
      </c>
      <c r="F531">
        <v>531</v>
      </c>
      <c r="G531" t="s">
        <v>198</v>
      </c>
      <c r="N531" t="s">
        <v>354</v>
      </c>
    </row>
    <row r="532" spans="1:14" x14ac:dyDescent="0.2">
      <c r="A532" t="s">
        <v>366</v>
      </c>
      <c r="B532" t="str">
        <f t="shared" si="22"/>
        <v>Room 104, Trench U</v>
      </c>
      <c r="C532">
        <v>104</v>
      </c>
      <c r="D532" t="s">
        <v>326</v>
      </c>
      <c r="F532">
        <v>532</v>
      </c>
      <c r="G532" t="s">
        <v>233</v>
      </c>
      <c r="N532" t="s">
        <v>357</v>
      </c>
    </row>
    <row r="533" spans="1:14" x14ac:dyDescent="0.2">
      <c r="A533" t="s">
        <v>366</v>
      </c>
      <c r="B533" t="str">
        <f t="shared" si="22"/>
        <v>Room 104, Trench Q</v>
      </c>
      <c r="C533">
        <v>104</v>
      </c>
      <c r="D533" t="s">
        <v>324</v>
      </c>
      <c r="F533">
        <v>533</v>
      </c>
      <c r="G533" t="s">
        <v>223</v>
      </c>
      <c r="N533" t="s">
        <v>357</v>
      </c>
    </row>
    <row r="534" spans="1:14" x14ac:dyDescent="0.2">
      <c r="A534" t="s">
        <v>366</v>
      </c>
      <c r="B534" t="str">
        <f t="shared" si="22"/>
        <v>Room 104, Trench Q</v>
      </c>
      <c r="C534">
        <v>104</v>
      </c>
      <c r="D534" t="s">
        <v>324</v>
      </c>
      <c r="F534">
        <v>534</v>
      </c>
      <c r="G534" t="s">
        <v>218</v>
      </c>
      <c r="N534" t="s">
        <v>357</v>
      </c>
    </row>
    <row r="535" spans="1:14" x14ac:dyDescent="0.2">
      <c r="A535" t="s">
        <v>366</v>
      </c>
      <c r="B535" t="str">
        <f t="shared" si="22"/>
        <v>Room 104, Trench Q</v>
      </c>
      <c r="C535">
        <v>104</v>
      </c>
      <c r="D535" t="s">
        <v>324</v>
      </c>
      <c r="F535">
        <v>535</v>
      </c>
      <c r="G535" t="s">
        <v>144</v>
      </c>
      <c r="N535" t="s">
        <v>356</v>
      </c>
    </row>
    <row r="536" spans="1:14" ht="16" x14ac:dyDescent="0.2">
      <c r="A536" t="s">
        <v>366</v>
      </c>
      <c r="B536" t="str">
        <f t="shared" si="22"/>
        <v>Room 104, Trench U</v>
      </c>
      <c r="C536">
        <v>104</v>
      </c>
      <c r="D536" t="s">
        <v>326</v>
      </c>
      <c r="F536">
        <v>536</v>
      </c>
      <c r="G536" t="s">
        <v>249</v>
      </c>
      <c r="M536" s="3" t="s">
        <v>359</v>
      </c>
      <c r="N536" t="s">
        <v>354</v>
      </c>
    </row>
    <row r="537" spans="1:14" x14ac:dyDescent="0.2">
      <c r="A537" t="s">
        <v>366</v>
      </c>
      <c r="B537" t="str">
        <f>_xlfn.CONCAT(C537, ", Trench ", D537)</f>
        <v>COURT, Trench V</v>
      </c>
      <c r="C537" t="s">
        <v>327</v>
      </c>
      <c r="D537" t="s">
        <v>328</v>
      </c>
      <c r="F537">
        <v>537</v>
      </c>
      <c r="G537" t="s">
        <v>247</v>
      </c>
    </row>
    <row r="538" spans="1:14" ht="16" x14ac:dyDescent="0.2">
      <c r="A538" t="s">
        <v>366</v>
      </c>
      <c r="B538" t="str">
        <f t="shared" si="22"/>
        <v>Room 104, Trench U</v>
      </c>
      <c r="C538">
        <v>104</v>
      </c>
      <c r="D538" t="s">
        <v>326</v>
      </c>
      <c r="F538">
        <v>538</v>
      </c>
      <c r="G538" t="s">
        <v>249</v>
      </c>
      <c r="M538" s="3" t="s">
        <v>359</v>
      </c>
      <c r="N538" t="s">
        <v>354</v>
      </c>
    </row>
    <row r="539" spans="1:14" x14ac:dyDescent="0.2">
      <c r="A539" t="s">
        <v>366</v>
      </c>
      <c r="B539" t="str">
        <f t="shared" si="22"/>
        <v>Room 104, Trench U</v>
      </c>
      <c r="C539">
        <v>104</v>
      </c>
      <c r="D539" t="s">
        <v>326</v>
      </c>
      <c r="F539">
        <v>539</v>
      </c>
      <c r="G539" t="s">
        <v>14</v>
      </c>
      <c r="N539" t="s">
        <v>358</v>
      </c>
    </row>
    <row r="540" spans="1:14" x14ac:dyDescent="0.2">
      <c r="A540" t="s">
        <v>366</v>
      </c>
      <c r="B540" t="str">
        <f t="shared" si="22"/>
        <v>Room 104, Trench U</v>
      </c>
      <c r="C540">
        <v>104</v>
      </c>
      <c r="D540" t="s">
        <v>326</v>
      </c>
      <c r="F540">
        <v>540</v>
      </c>
      <c r="G540" t="s">
        <v>248</v>
      </c>
      <c r="N540" t="s">
        <v>357</v>
      </c>
    </row>
    <row r="541" spans="1:14" x14ac:dyDescent="0.2">
      <c r="A541" t="s">
        <v>366</v>
      </c>
      <c r="B541" t="str">
        <f t="shared" si="22"/>
        <v>Room 103, Trench X</v>
      </c>
      <c r="C541">
        <v>103</v>
      </c>
      <c r="D541" t="s">
        <v>329</v>
      </c>
      <c r="F541">
        <v>541</v>
      </c>
      <c r="G541" t="s">
        <v>204</v>
      </c>
      <c r="N541" t="s">
        <v>354</v>
      </c>
    </row>
    <row r="542" spans="1:14" x14ac:dyDescent="0.2">
      <c r="A542" t="s">
        <v>366</v>
      </c>
      <c r="B542" t="str">
        <f t="shared" si="22"/>
        <v>Room 106, Trench W</v>
      </c>
      <c r="C542">
        <v>106</v>
      </c>
      <c r="D542" t="s">
        <v>330</v>
      </c>
      <c r="F542">
        <v>542</v>
      </c>
      <c r="G542" t="s">
        <v>204</v>
      </c>
      <c r="N542" t="s">
        <v>354</v>
      </c>
    </row>
    <row r="543" spans="1:14" x14ac:dyDescent="0.2">
      <c r="A543" t="s">
        <v>366</v>
      </c>
      <c r="B543" t="str">
        <f t="shared" si="22"/>
        <v>Room 106, Trench W</v>
      </c>
      <c r="C543">
        <v>106</v>
      </c>
      <c r="D543" t="s">
        <v>330</v>
      </c>
      <c r="F543">
        <v>543</v>
      </c>
      <c r="G543" t="s">
        <v>204</v>
      </c>
      <c r="N543" t="s">
        <v>354</v>
      </c>
    </row>
    <row r="544" spans="1:14" x14ac:dyDescent="0.2">
      <c r="A544" t="s">
        <v>366</v>
      </c>
      <c r="B544" t="str">
        <f t="shared" si="22"/>
        <v>Room 106, Trench W</v>
      </c>
      <c r="C544">
        <v>106</v>
      </c>
      <c r="D544" t="s">
        <v>330</v>
      </c>
      <c r="F544">
        <v>544</v>
      </c>
      <c r="G544" t="s">
        <v>204</v>
      </c>
      <c r="N544" t="s">
        <v>354</v>
      </c>
    </row>
    <row r="545" spans="1:17" x14ac:dyDescent="0.2">
      <c r="A545" t="s">
        <v>366</v>
      </c>
      <c r="B545" t="str">
        <f t="shared" si="22"/>
        <v>Room 106, Trench W</v>
      </c>
      <c r="C545">
        <v>106</v>
      </c>
      <c r="D545" t="s">
        <v>330</v>
      </c>
      <c r="F545">
        <v>545</v>
      </c>
      <c r="G545" t="s">
        <v>250</v>
      </c>
      <c r="N545" t="s">
        <v>353</v>
      </c>
    </row>
    <row r="546" spans="1:17" x14ac:dyDescent="0.2">
      <c r="A546" t="s">
        <v>366</v>
      </c>
      <c r="B546" t="str">
        <f t="shared" si="22"/>
        <v>Room 106, Trench W</v>
      </c>
      <c r="C546">
        <v>106</v>
      </c>
      <c r="D546" t="s">
        <v>330</v>
      </c>
      <c r="F546">
        <v>546</v>
      </c>
      <c r="G546" t="s">
        <v>250</v>
      </c>
      <c r="N546" t="s">
        <v>353</v>
      </c>
    </row>
    <row r="547" spans="1:17" x14ac:dyDescent="0.2">
      <c r="A547" t="s">
        <v>366</v>
      </c>
      <c r="B547" t="str">
        <f>_xlfn.CONCAT(C547, ", Trench ", D547)</f>
        <v>STGEO, Trench Y</v>
      </c>
      <c r="C547" t="s">
        <v>311</v>
      </c>
      <c r="D547" t="s">
        <v>331</v>
      </c>
      <c r="F547">
        <v>547</v>
      </c>
      <c r="G547" t="s">
        <v>84</v>
      </c>
      <c r="N547" t="s">
        <v>357</v>
      </c>
    </row>
    <row r="548" spans="1:17" x14ac:dyDescent="0.2">
      <c r="A548" t="s">
        <v>366</v>
      </c>
      <c r="B548" t="str">
        <f>_xlfn.CONCAT(C548, ", Trench ", D548)</f>
        <v>STGEO, Trench Y</v>
      </c>
      <c r="C548" t="s">
        <v>311</v>
      </c>
      <c r="D548" t="s">
        <v>331</v>
      </c>
      <c r="F548">
        <v>548</v>
      </c>
      <c r="G548" t="s">
        <v>251</v>
      </c>
      <c r="N548" t="s">
        <v>353</v>
      </c>
    </row>
    <row r="549" spans="1:17" x14ac:dyDescent="0.2">
      <c r="A549" t="s">
        <v>366</v>
      </c>
      <c r="B549" t="str">
        <f t="shared" si="22"/>
        <v>Room 106, Trench W</v>
      </c>
      <c r="C549">
        <v>106</v>
      </c>
      <c r="D549" t="s">
        <v>330</v>
      </c>
      <c r="F549">
        <v>549</v>
      </c>
      <c r="G549" t="s">
        <v>231</v>
      </c>
      <c r="N549" t="s">
        <v>357</v>
      </c>
    </row>
    <row r="550" spans="1:17" x14ac:dyDescent="0.2">
      <c r="A550" t="s">
        <v>366</v>
      </c>
      <c r="F550">
        <v>550</v>
      </c>
      <c r="Q550" t="s">
        <v>290</v>
      </c>
    </row>
    <row r="551" spans="1:17" x14ac:dyDescent="0.2">
      <c r="A551" t="s">
        <v>366</v>
      </c>
      <c r="F551">
        <v>551</v>
      </c>
      <c r="Q551" t="s">
        <v>290</v>
      </c>
    </row>
    <row r="552" spans="1:17" x14ac:dyDescent="0.2">
      <c r="A552" t="s">
        <v>366</v>
      </c>
      <c r="F552">
        <v>552</v>
      </c>
      <c r="Q552" t="s">
        <v>290</v>
      </c>
    </row>
    <row r="553" spans="1:17" x14ac:dyDescent="0.2">
      <c r="A553" t="s">
        <v>366</v>
      </c>
      <c r="F553">
        <v>553</v>
      </c>
      <c r="Q553" t="s">
        <v>290</v>
      </c>
    </row>
    <row r="554" spans="1:17" x14ac:dyDescent="0.2">
      <c r="A554" t="s">
        <v>366</v>
      </c>
      <c r="F554">
        <v>554</v>
      </c>
      <c r="Q554" t="s">
        <v>290</v>
      </c>
    </row>
    <row r="555" spans="1:17" x14ac:dyDescent="0.2">
      <c r="A555" t="s">
        <v>366</v>
      </c>
      <c r="F555">
        <v>555</v>
      </c>
      <c r="Q555" t="s">
        <v>290</v>
      </c>
    </row>
    <row r="556" spans="1:17" x14ac:dyDescent="0.2">
      <c r="A556" t="s">
        <v>366</v>
      </c>
      <c r="F556">
        <v>556</v>
      </c>
      <c r="Q556" t="s">
        <v>290</v>
      </c>
    </row>
    <row r="557" spans="1:17" x14ac:dyDescent="0.2">
      <c r="A557" t="s">
        <v>366</v>
      </c>
      <c r="F557">
        <v>557</v>
      </c>
      <c r="Q557" t="s">
        <v>290</v>
      </c>
    </row>
    <row r="558" spans="1:17" x14ac:dyDescent="0.2">
      <c r="A558" t="s">
        <v>366</v>
      </c>
      <c r="F558">
        <v>558</v>
      </c>
      <c r="Q558" t="s">
        <v>290</v>
      </c>
    </row>
    <row r="559" spans="1:17" x14ac:dyDescent="0.2">
      <c r="A559" t="s">
        <v>366</v>
      </c>
      <c r="F559">
        <v>559</v>
      </c>
      <c r="Q559" t="s">
        <v>290</v>
      </c>
    </row>
    <row r="560" spans="1:17" x14ac:dyDescent="0.2">
      <c r="A560" t="s">
        <v>366</v>
      </c>
      <c r="B560" t="str">
        <f t="shared" ref="B560:B564" si="23">_xlfn.CONCAT("Room ", C560, ", Trench ", D560)</f>
        <v>Room 106, Trench W</v>
      </c>
      <c r="C560">
        <v>106</v>
      </c>
      <c r="D560" t="s">
        <v>330</v>
      </c>
      <c r="F560">
        <v>560</v>
      </c>
      <c r="G560" t="s">
        <v>144</v>
      </c>
      <c r="N560" t="s">
        <v>356</v>
      </c>
    </row>
    <row r="561" spans="1:17" x14ac:dyDescent="0.2">
      <c r="A561" t="s">
        <v>366</v>
      </c>
      <c r="B561" t="str">
        <f t="shared" si="23"/>
        <v>Room 103, Trench X</v>
      </c>
      <c r="C561">
        <v>103</v>
      </c>
      <c r="D561" t="s">
        <v>329</v>
      </c>
      <c r="F561">
        <v>561</v>
      </c>
      <c r="G561" t="s">
        <v>231</v>
      </c>
      <c r="N561" t="s">
        <v>357</v>
      </c>
    </row>
    <row r="562" spans="1:17" x14ac:dyDescent="0.2">
      <c r="A562" t="s">
        <v>366</v>
      </c>
      <c r="B562" t="str">
        <f>_xlfn.CONCAT(C562, ", Trench ", D562)</f>
        <v>STGEO, Trench Y</v>
      </c>
      <c r="C562" t="s">
        <v>311</v>
      </c>
      <c r="D562" t="s">
        <v>331</v>
      </c>
      <c r="F562">
        <v>562</v>
      </c>
      <c r="G562" t="s">
        <v>251</v>
      </c>
      <c r="N562" t="s">
        <v>353</v>
      </c>
    </row>
    <row r="563" spans="1:17" x14ac:dyDescent="0.2">
      <c r="A563" t="s">
        <v>366</v>
      </c>
      <c r="B563" t="str">
        <f t="shared" si="23"/>
        <v>Room 110, Trench Z</v>
      </c>
      <c r="C563">
        <v>110</v>
      </c>
      <c r="D563" t="s">
        <v>332</v>
      </c>
      <c r="F563">
        <v>563</v>
      </c>
      <c r="G563" t="s">
        <v>84</v>
      </c>
      <c r="N563" t="s">
        <v>357</v>
      </c>
    </row>
    <row r="564" spans="1:17" x14ac:dyDescent="0.2">
      <c r="A564" t="s">
        <v>366</v>
      </c>
      <c r="B564" t="str">
        <f t="shared" si="23"/>
        <v>Room 110, Trench Z</v>
      </c>
      <c r="C564">
        <v>110</v>
      </c>
      <c r="D564" t="s">
        <v>332</v>
      </c>
      <c r="F564">
        <v>564</v>
      </c>
      <c r="G564" t="s">
        <v>236</v>
      </c>
      <c r="N564" t="s">
        <v>357</v>
      </c>
    </row>
    <row r="565" spans="1:17" x14ac:dyDescent="0.2">
      <c r="A565" t="s">
        <v>366</v>
      </c>
      <c r="B565" t="str">
        <f t="shared" ref="B565:B568" si="24">_xlfn.CONCAT(C565, ", Trench ", D565)</f>
        <v>STGEO, Trench Y</v>
      </c>
      <c r="C565" t="s">
        <v>311</v>
      </c>
      <c r="D565" t="s">
        <v>331</v>
      </c>
      <c r="F565">
        <v>565</v>
      </c>
      <c r="G565" t="s">
        <v>231</v>
      </c>
      <c r="N565" t="s">
        <v>357</v>
      </c>
    </row>
    <row r="566" spans="1:17" x14ac:dyDescent="0.2">
      <c r="A566" t="s">
        <v>366</v>
      </c>
      <c r="B566" t="str">
        <f t="shared" si="24"/>
        <v>STGEO, Trench Y</v>
      </c>
      <c r="C566" t="s">
        <v>311</v>
      </c>
      <c r="D566" t="s">
        <v>331</v>
      </c>
      <c r="F566">
        <v>566</v>
      </c>
      <c r="G566" t="s">
        <v>240</v>
      </c>
      <c r="N566" t="s">
        <v>356</v>
      </c>
    </row>
    <row r="567" spans="1:17" x14ac:dyDescent="0.2">
      <c r="A567" t="s">
        <v>366</v>
      </c>
      <c r="B567" t="str">
        <f t="shared" si="24"/>
        <v>STGEO, Trench Y</v>
      </c>
      <c r="C567" t="s">
        <v>311</v>
      </c>
      <c r="D567" t="s">
        <v>331</v>
      </c>
      <c r="F567">
        <v>567</v>
      </c>
      <c r="G567" t="s">
        <v>252</v>
      </c>
      <c r="N567" t="s">
        <v>356</v>
      </c>
    </row>
    <row r="568" spans="1:17" x14ac:dyDescent="0.2">
      <c r="A568" t="s">
        <v>366</v>
      </c>
      <c r="B568" t="str">
        <f t="shared" si="24"/>
        <v>STGEO, Trench Y</v>
      </c>
      <c r="C568" t="s">
        <v>311</v>
      </c>
      <c r="D568" t="s">
        <v>331</v>
      </c>
      <c r="F568">
        <v>568</v>
      </c>
      <c r="G568" t="s">
        <v>253</v>
      </c>
      <c r="N568" t="s">
        <v>356</v>
      </c>
    </row>
    <row r="569" spans="1:17" x14ac:dyDescent="0.2">
      <c r="A569" t="s">
        <v>366</v>
      </c>
      <c r="B569" t="str">
        <f>_xlfn.CONCAT(C569, ", Trench ", D569)</f>
        <v>COURT, Trench AA</v>
      </c>
      <c r="C569" t="s">
        <v>327</v>
      </c>
      <c r="D569" t="s">
        <v>14</v>
      </c>
      <c r="F569">
        <v>569</v>
      </c>
      <c r="G569" t="s">
        <v>61</v>
      </c>
      <c r="N569" t="s">
        <v>357</v>
      </c>
    </row>
    <row r="570" spans="1:17" x14ac:dyDescent="0.2">
      <c r="A570" t="s">
        <v>366</v>
      </c>
      <c r="B570" t="str">
        <f t="shared" ref="B570:B571" si="25">_xlfn.CONCAT(C570, ", Trench ", D570)</f>
        <v>STGEO, Trench BB</v>
      </c>
      <c r="C570" t="s">
        <v>311</v>
      </c>
      <c r="D570" t="s">
        <v>333</v>
      </c>
      <c r="F570">
        <v>570</v>
      </c>
      <c r="G570" t="s">
        <v>84</v>
      </c>
      <c r="N570" t="s">
        <v>357</v>
      </c>
    </row>
    <row r="571" spans="1:17" x14ac:dyDescent="0.2">
      <c r="A571" t="s">
        <v>366</v>
      </c>
      <c r="B571" t="str">
        <f t="shared" si="25"/>
        <v>STGEO, Trench BB</v>
      </c>
      <c r="C571" t="s">
        <v>311</v>
      </c>
      <c r="D571" t="s">
        <v>333</v>
      </c>
      <c r="F571">
        <v>571</v>
      </c>
      <c r="G571" t="s">
        <v>240</v>
      </c>
      <c r="N571" t="s">
        <v>356</v>
      </c>
    </row>
    <row r="572" spans="1:17" x14ac:dyDescent="0.2">
      <c r="A572" t="s">
        <v>366</v>
      </c>
      <c r="B572" t="str">
        <f>_xlfn.CONCAT(C572, ", Trench ", D572)</f>
        <v>COURT, Trench AA</v>
      </c>
      <c r="C572" t="s">
        <v>327</v>
      </c>
      <c r="D572" t="s">
        <v>14</v>
      </c>
      <c r="F572">
        <v>572</v>
      </c>
      <c r="G572" t="s">
        <v>48</v>
      </c>
      <c r="N572" t="s">
        <v>357</v>
      </c>
    </row>
    <row r="573" spans="1:17" x14ac:dyDescent="0.2">
      <c r="A573" t="s">
        <v>366</v>
      </c>
      <c r="B573" t="str">
        <f t="shared" ref="B573:B574" si="26">_xlfn.CONCAT("Room ", C573, ", Trench ", D573)</f>
        <v>Room 110, Trench Z</v>
      </c>
      <c r="C573">
        <v>110</v>
      </c>
      <c r="D573" t="s">
        <v>332</v>
      </c>
      <c r="F573">
        <v>573</v>
      </c>
      <c r="G573" t="s">
        <v>204</v>
      </c>
      <c r="N573" t="s">
        <v>354</v>
      </c>
      <c r="Q573" t="s">
        <v>355</v>
      </c>
    </row>
    <row r="574" spans="1:17" x14ac:dyDescent="0.2">
      <c r="A574" t="s">
        <v>366</v>
      </c>
      <c r="B574" t="str">
        <f t="shared" si="26"/>
        <v>Room 110, Trench Z</v>
      </c>
      <c r="C574">
        <v>110</v>
      </c>
      <c r="D574" t="s">
        <v>332</v>
      </c>
      <c r="F574">
        <v>574</v>
      </c>
      <c r="G574" t="s">
        <v>237</v>
      </c>
      <c r="N574" t="s">
        <v>357</v>
      </c>
      <c r="Q574">
        <v>2</v>
      </c>
    </row>
    <row r="575" spans="1:17" x14ac:dyDescent="0.2">
      <c r="A575" t="s">
        <v>366</v>
      </c>
      <c r="B575" t="str">
        <f t="shared" ref="B575:B577" si="27">_xlfn.CONCAT(C575, ", Trench ", D575)</f>
        <v>COURT, Trench AA</v>
      </c>
      <c r="C575" t="s">
        <v>327</v>
      </c>
      <c r="D575" t="s">
        <v>14</v>
      </c>
      <c r="F575">
        <v>575</v>
      </c>
      <c r="G575" t="s">
        <v>82</v>
      </c>
      <c r="N575" t="s">
        <v>357</v>
      </c>
    </row>
    <row r="576" spans="1:17" x14ac:dyDescent="0.2">
      <c r="A576" t="s">
        <v>366</v>
      </c>
      <c r="B576" t="str">
        <f t="shared" si="27"/>
        <v>COURT, Trench AA</v>
      </c>
      <c r="C576" t="s">
        <v>327</v>
      </c>
      <c r="D576" t="s">
        <v>14</v>
      </c>
      <c r="F576">
        <v>576</v>
      </c>
      <c r="G576" t="s">
        <v>238</v>
      </c>
      <c r="N576" t="s">
        <v>356</v>
      </c>
    </row>
    <row r="577" spans="1:17" x14ac:dyDescent="0.2">
      <c r="A577" t="s">
        <v>366</v>
      </c>
      <c r="B577" t="str">
        <f t="shared" si="27"/>
        <v>COURT, Trench AA</v>
      </c>
      <c r="C577" t="s">
        <v>327</v>
      </c>
      <c r="D577" t="s">
        <v>14</v>
      </c>
      <c r="F577">
        <v>577</v>
      </c>
      <c r="G577" t="s">
        <v>144</v>
      </c>
      <c r="N577" t="s">
        <v>356</v>
      </c>
    </row>
    <row r="578" spans="1:17" x14ac:dyDescent="0.2">
      <c r="A578" t="s">
        <v>366</v>
      </c>
      <c r="B578" t="str">
        <f t="shared" ref="B578" si="28">_xlfn.CONCAT("Room ", C578, ", Trench ", D578)</f>
        <v>Room 110, Trench Z</v>
      </c>
      <c r="C578">
        <v>110</v>
      </c>
      <c r="D578" t="s">
        <v>332</v>
      </c>
      <c r="F578">
        <v>578</v>
      </c>
      <c r="G578" t="s">
        <v>84</v>
      </c>
      <c r="N578" t="s">
        <v>357</v>
      </c>
      <c r="Q578">
        <v>2</v>
      </c>
    </row>
    <row r="579" spans="1:17" x14ac:dyDescent="0.2">
      <c r="A579" t="s">
        <v>366</v>
      </c>
      <c r="B579" t="str">
        <f>_xlfn.CONCAT(C579, ", Trench ", D579)</f>
        <v>COURT, Trench AA</v>
      </c>
      <c r="C579" t="s">
        <v>327</v>
      </c>
      <c r="D579" t="s">
        <v>14</v>
      </c>
      <c r="F579">
        <v>579</v>
      </c>
      <c r="G579" t="s">
        <v>67</v>
      </c>
      <c r="N579" t="s">
        <v>358</v>
      </c>
    </row>
    <row r="580" spans="1:17" x14ac:dyDescent="0.2">
      <c r="A580" t="s">
        <v>366</v>
      </c>
      <c r="B580" t="str">
        <f t="shared" ref="B580:B581" si="29">_xlfn.CONCAT("Room ", C580, ", Trench ", D580)</f>
        <v>Room 110, Trench Z</v>
      </c>
      <c r="C580">
        <v>110</v>
      </c>
      <c r="D580" t="s">
        <v>332</v>
      </c>
      <c r="F580">
        <v>580</v>
      </c>
      <c r="G580" t="s">
        <v>254</v>
      </c>
      <c r="N580" t="s">
        <v>353</v>
      </c>
      <c r="Q580" t="s">
        <v>355</v>
      </c>
    </row>
    <row r="581" spans="1:17" x14ac:dyDescent="0.2">
      <c r="A581" t="s">
        <v>366</v>
      </c>
      <c r="B581" t="str">
        <f t="shared" si="29"/>
        <v>Room 110, Trench Z</v>
      </c>
      <c r="C581">
        <v>110</v>
      </c>
      <c r="D581" t="s">
        <v>332</v>
      </c>
      <c r="F581">
        <v>581</v>
      </c>
      <c r="G581" t="s">
        <v>48</v>
      </c>
      <c r="N581" t="s">
        <v>357</v>
      </c>
      <c r="Q581">
        <v>2</v>
      </c>
    </row>
    <row r="582" spans="1:17" x14ac:dyDescent="0.2">
      <c r="A582" t="s">
        <v>366</v>
      </c>
      <c r="B582" t="str">
        <f>_xlfn.CONCAT(C582, ", Trench ", D582)</f>
        <v>COURT, Trench AA</v>
      </c>
      <c r="C582" t="s">
        <v>327</v>
      </c>
      <c r="D582" t="s">
        <v>14</v>
      </c>
      <c r="F582">
        <v>582</v>
      </c>
      <c r="G582" t="s">
        <v>88</v>
      </c>
      <c r="N582" t="s">
        <v>357</v>
      </c>
    </row>
    <row r="583" spans="1:17" x14ac:dyDescent="0.2">
      <c r="A583" t="s">
        <v>366</v>
      </c>
      <c r="B583" t="str">
        <f t="shared" ref="B583:B584" si="30">_xlfn.CONCAT("Room ", C583, ", Trench ", D583)</f>
        <v>Room 110, Trench Z</v>
      </c>
      <c r="C583">
        <v>110</v>
      </c>
      <c r="D583" t="s">
        <v>332</v>
      </c>
      <c r="F583">
        <v>583</v>
      </c>
      <c r="G583" t="s">
        <v>88</v>
      </c>
      <c r="N583" t="s">
        <v>357</v>
      </c>
    </row>
    <row r="584" spans="1:17" x14ac:dyDescent="0.2">
      <c r="A584" t="s">
        <v>366</v>
      </c>
      <c r="B584" t="str">
        <f t="shared" si="30"/>
        <v>Room 110, Trench CC</v>
      </c>
      <c r="C584">
        <v>110</v>
      </c>
      <c r="D584" t="s">
        <v>334</v>
      </c>
      <c r="F584">
        <v>584</v>
      </c>
      <c r="G584" t="s">
        <v>255</v>
      </c>
      <c r="N584" t="s">
        <v>354</v>
      </c>
    </row>
    <row r="585" spans="1:17" x14ac:dyDescent="0.2">
      <c r="A585" t="s">
        <v>366</v>
      </c>
      <c r="B585" t="str">
        <f t="shared" ref="B585:B586" si="31">_xlfn.CONCAT(C585, ", Trench ", D585)</f>
        <v>COURT, Trench V</v>
      </c>
      <c r="C585" t="s">
        <v>327</v>
      </c>
      <c r="D585" t="s">
        <v>328</v>
      </c>
      <c r="F585">
        <v>585</v>
      </c>
      <c r="G585" t="s">
        <v>256</v>
      </c>
      <c r="N585" t="s">
        <v>357</v>
      </c>
    </row>
    <row r="586" spans="1:17" x14ac:dyDescent="0.2">
      <c r="A586" t="s">
        <v>366</v>
      </c>
      <c r="B586" t="str">
        <f t="shared" si="31"/>
        <v>COURT, Trench V</v>
      </c>
      <c r="C586" t="s">
        <v>327</v>
      </c>
      <c r="D586" t="s">
        <v>328</v>
      </c>
      <c r="F586">
        <v>586</v>
      </c>
      <c r="G586" t="s">
        <v>144</v>
      </c>
      <c r="N586" t="s">
        <v>356</v>
      </c>
    </row>
    <row r="587" spans="1:17" x14ac:dyDescent="0.2">
      <c r="A587" t="s">
        <v>366</v>
      </c>
      <c r="B587" t="str">
        <f t="shared" ref="B587" si="32">_xlfn.CONCAT("Room ", C587, ", Trench ", D587)</f>
        <v>Room 110, Trench CC</v>
      </c>
      <c r="C587">
        <v>110</v>
      </c>
      <c r="D587" t="s">
        <v>334</v>
      </c>
      <c r="F587">
        <v>587</v>
      </c>
      <c r="G587" t="s">
        <v>84</v>
      </c>
      <c r="N587" t="s">
        <v>357</v>
      </c>
    </row>
    <row r="588" spans="1:17" x14ac:dyDescent="0.2">
      <c r="A588" t="s">
        <v>366</v>
      </c>
      <c r="B588" t="str">
        <f t="shared" ref="B588:B589" si="33">_xlfn.CONCAT(C588, ", Trench ", D588)</f>
        <v>COURT, Trench V</v>
      </c>
      <c r="C588" t="s">
        <v>327</v>
      </c>
      <c r="D588" t="s">
        <v>328</v>
      </c>
      <c r="F588">
        <v>588</v>
      </c>
      <c r="G588" t="s">
        <v>257</v>
      </c>
      <c r="N588" t="s">
        <v>357</v>
      </c>
    </row>
    <row r="589" spans="1:17" x14ac:dyDescent="0.2">
      <c r="A589" t="s">
        <v>366</v>
      </c>
      <c r="B589" t="str">
        <f t="shared" si="33"/>
        <v>COURT, Trench V</v>
      </c>
      <c r="C589" t="s">
        <v>327</v>
      </c>
      <c r="D589" t="s">
        <v>328</v>
      </c>
      <c r="F589">
        <v>589</v>
      </c>
      <c r="G589" t="s">
        <v>238</v>
      </c>
      <c r="N589" t="s">
        <v>356</v>
      </c>
    </row>
    <row r="590" spans="1:17" x14ac:dyDescent="0.2">
      <c r="A590" t="s">
        <v>366</v>
      </c>
      <c r="B590" t="str">
        <f t="shared" ref="B590" si="34">_xlfn.CONCAT("Room ", C590, ", Trench ", D590)</f>
        <v>Room 108, Trench DD</v>
      </c>
      <c r="C590">
        <v>108</v>
      </c>
      <c r="D590" t="s">
        <v>335</v>
      </c>
      <c r="F590">
        <v>590</v>
      </c>
      <c r="G590" t="s">
        <v>204</v>
      </c>
      <c r="N590" t="s">
        <v>354</v>
      </c>
    </row>
    <row r="591" spans="1:17" x14ac:dyDescent="0.2">
      <c r="A591" t="s">
        <v>366</v>
      </c>
      <c r="B591" t="str">
        <f>_xlfn.CONCAT(C591, ", Trench ", D591)</f>
        <v>COURT, Trench V</v>
      </c>
      <c r="C591" t="s">
        <v>327</v>
      </c>
      <c r="D591" t="s">
        <v>328</v>
      </c>
      <c r="F591">
        <v>591</v>
      </c>
      <c r="G591" t="s">
        <v>258</v>
      </c>
      <c r="N591" t="s">
        <v>357</v>
      </c>
    </row>
    <row r="592" spans="1:17" x14ac:dyDescent="0.2">
      <c r="A592" t="s">
        <v>366</v>
      </c>
      <c r="F592">
        <v>592</v>
      </c>
    </row>
    <row r="593" spans="1:14" x14ac:dyDescent="0.2">
      <c r="A593" t="s">
        <v>366</v>
      </c>
      <c r="B593" t="str">
        <f t="shared" ref="B593:B594" si="35">_xlfn.CONCAT("Room ", C593, ", Trench ", D593)</f>
        <v>Room 108, Trench DD</v>
      </c>
      <c r="C593">
        <v>108</v>
      </c>
      <c r="D593" t="s">
        <v>335</v>
      </c>
      <c r="F593">
        <v>593</v>
      </c>
      <c r="G593" t="s">
        <v>198</v>
      </c>
      <c r="N593" t="s">
        <v>354</v>
      </c>
    </row>
    <row r="594" spans="1:14" x14ac:dyDescent="0.2">
      <c r="A594" t="s">
        <v>366</v>
      </c>
      <c r="B594" t="str">
        <f t="shared" si="35"/>
        <v>Room 110, Trench CC</v>
      </c>
      <c r="C594">
        <v>110</v>
      </c>
      <c r="D594" t="s">
        <v>334</v>
      </c>
      <c r="F594">
        <v>594</v>
      </c>
      <c r="G594" t="s">
        <v>236</v>
      </c>
      <c r="N594" t="s">
        <v>357</v>
      </c>
    </row>
    <row r="595" spans="1:14" x14ac:dyDescent="0.2">
      <c r="A595" t="s">
        <v>366</v>
      </c>
      <c r="B595" t="str">
        <f>_xlfn.CONCAT(C595, ", Trench ", D595)</f>
        <v>COURT, Trench V</v>
      </c>
      <c r="C595" t="s">
        <v>327</v>
      </c>
      <c r="D595" t="s">
        <v>328</v>
      </c>
      <c r="F595">
        <v>595</v>
      </c>
      <c r="G595" t="s">
        <v>259</v>
      </c>
      <c r="N595" t="s">
        <v>357</v>
      </c>
    </row>
    <row r="596" spans="1:14" x14ac:dyDescent="0.2">
      <c r="A596" t="s">
        <v>366</v>
      </c>
      <c r="B596" t="str">
        <f t="shared" ref="B596" si="36">_xlfn.CONCAT("Room ", C596, ", Trench ", D596)</f>
        <v>Room 110, Trench CC</v>
      </c>
      <c r="C596">
        <v>110</v>
      </c>
      <c r="D596" t="s">
        <v>334</v>
      </c>
      <c r="F596">
        <v>596</v>
      </c>
      <c r="G596" t="s">
        <v>237</v>
      </c>
      <c r="N596" t="s">
        <v>357</v>
      </c>
    </row>
    <row r="597" spans="1:14" x14ac:dyDescent="0.2">
      <c r="A597" t="s">
        <v>366</v>
      </c>
      <c r="B597" t="str">
        <f>_xlfn.CONCAT(C597, ", Trench ", D597)</f>
        <v>COURT, Trench V</v>
      </c>
      <c r="C597" t="s">
        <v>327</v>
      </c>
      <c r="D597" t="s">
        <v>328</v>
      </c>
      <c r="F597">
        <v>597</v>
      </c>
      <c r="G597" t="s">
        <v>145</v>
      </c>
      <c r="N597" t="s">
        <v>356</v>
      </c>
    </row>
    <row r="598" spans="1:14" x14ac:dyDescent="0.2">
      <c r="A598" t="s">
        <v>366</v>
      </c>
      <c r="B598" t="str">
        <f t="shared" ref="B598:B604" si="37">_xlfn.CONCAT("Room ", C598, ", Trench ", D598)</f>
        <v>Room 108, Trench DD</v>
      </c>
      <c r="C598">
        <v>108</v>
      </c>
      <c r="D598" t="s">
        <v>335</v>
      </c>
      <c r="F598">
        <v>598</v>
      </c>
      <c r="G598" t="s">
        <v>231</v>
      </c>
      <c r="N598" t="s">
        <v>357</v>
      </c>
    </row>
    <row r="599" spans="1:14" x14ac:dyDescent="0.2">
      <c r="A599" t="s">
        <v>366</v>
      </c>
      <c r="B599" t="str">
        <f t="shared" si="37"/>
        <v>Room 108, Trench DD</v>
      </c>
      <c r="C599">
        <v>108</v>
      </c>
      <c r="D599" t="s">
        <v>335</v>
      </c>
      <c r="F599">
        <v>599</v>
      </c>
      <c r="G599" t="s">
        <v>173</v>
      </c>
      <c r="N599" t="s">
        <v>354</v>
      </c>
    </row>
    <row r="600" spans="1:14" x14ac:dyDescent="0.2">
      <c r="A600" t="s">
        <v>366</v>
      </c>
      <c r="B600" t="str">
        <f t="shared" si="37"/>
        <v>Room 110, Trench CC</v>
      </c>
      <c r="C600">
        <v>110</v>
      </c>
      <c r="D600" t="s">
        <v>334</v>
      </c>
      <c r="F600">
        <v>600</v>
      </c>
      <c r="G600" t="s">
        <v>240</v>
      </c>
      <c r="N600" t="s">
        <v>356</v>
      </c>
    </row>
    <row r="601" spans="1:14" x14ac:dyDescent="0.2">
      <c r="A601" t="s">
        <v>366</v>
      </c>
      <c r="B601" t="str">
        <f t="shared" si="37"/>
        <v>Room 110, Trench CC</v>
      </c>
      <c r="C601">
        <v>110</v>
      </c>
      <c r="D601" t="s">
        <v>334</v>
      </c>
      <c r="F601">
        <v>601</v>
      </c>
      <c r="G601" t="s">
        <v>14</v>
      </c>
      <c r="N601" t="s">
        <v>358</v>
      </c>
    </row>
    <row r="602" spans="1:14" x14ac:dyDescent="0.2">
      <c r="A602" t="s">
        <v>366</v>
      </c>
      <c r="B602" t="str">
        <f t="shared" si="37"/>
        <v>Room 108, Trench DD</v>
      </c>
      <c r="C602">
        <v>108</v>
      </c>
      <c r="D602" t="s">
        <v>335</v>
      </c>
      <c r="F602">
        <v>602</v>
      </c>
      <c r="G602" t="s">
        <v>233</v>
      </c>
      <c r="N602" t="s">
        <v>357</v>
      </c>
    </row>
    <row r="603" spans="1:14" x14ac:dyDescent="0.2">
      <c r="A603" t="s">
        <v>366</v>
      </c>
      <c r="B603" t="str">
        <f t="shared" si="37"/>
        <v>Room 110, Trench CC</v>
      </c>
      <c r="C603">
        <v>110</v>
      </c>
      <c r="D603" t="s">
        <v>334</v>
      </c>
      <c r="F603">
        <v>603</v>
      </c>
      <c r="G603" t="s">
        <v>61</v>
      </c>
      <c r="N603" t="s">
        <v>357</v>
      </c>
    </row>
    <row r="604" spans="1:14" x14ac:dyDescent="0.2">
      <c r="A604" t="s">
        <v>366</v>
      </c>
      <c r="B604" t="str">
        <f t="shared" si="37"/>
        <v>Room 108, Trench DD</v>
      </c>
      <c r="C604">
        <v>108</v>
      </c>
      <c r="D604" t="s">
        <v>335</v>
      </c>
      <c r="F604">
        <v>604</v>
      </c>
      <c r="G604" t="s">
        <v>260</v>
      </c>
      <c r="N604" t="s">
        <v>354</v>
      </c>
    </row>
    <row r="605" spans="1:14" x14ac:dyDescent="0.2">
      <c r="A605" t="s">
        <v>366</v>
      </c>
      <c r="B605" t="str">
        <f t="shared" ref="B605:B606" si="38">_xlfn.CONCAT(C605, ", Trench ", D605)</f>
        <v>COURT, Trench V</v>
      </c>
      <c r="C605" t="s">
        <v>327</v>
      </c>
      <c r="D605" t="s">
        <v>328</v>
      </c>
      <c r="F605">
        <v>605</v>
      </c>
      <c r="G605" t="s">
        <v>261</v>
      </c>
      <c r="N605" t="s">
        <v>354</v>
      </c>
    </row>
    <row r="606" spans="1:14" x14ac:dyDescent="0.2">
      <c r="A606" t="s">
        <v>366</v>
      </c>
      <c r="B606" t="str">
        <f t="shared" si="38"/>
        <v>COURT, Trench V</v>
      </c>
      <c r="C606" t="s">
        <v>327</v>
      </c>
      <c r="D606" t="s">
        <v>328</v>
      </c>
      <c r="F606">
        <v>606</v>
      </c>
      <c r="G606" t="s">
        <v>82</v>
      </c>
      <c r="N606" t="s">
        <v>357</v>
      </c>
    </row>
    <row r="607" spans="1:14" x14ac:dyDescent="0.2">
      <c r="A607" t="s">
        <v>366</v>
      </c>
      <c r="B607" t="str">
        <f t="shared" ref="B607" si="39">_xlfn.CONCAT("Room ", C607, ", Trench ", D607)</f>
        <v>Room 110, Trench CC</v>
      </c>
      <c r="C607">
        <v>110</v>
      </c>
      <c r="D607" t="s">
        <v>334</v>
      </c>
      <c r="F607">
        <v>607</v>
      </c>
      <c r="G607" t="s">
        <v>232</v>
      </c>
      <c r="N607" t="s">
        <v>356</v>
      </c>
    </row>
    <row r="608" spans="1:14" x14ac:dyDescent="0.2">
      <c r="A608" t="s">
        <v>366</v>
      </c>
      <c r="B608" t="str">
        <f>_xlfn.CONCAT(C608, ", Trench ", D608)</f>
        <v>COURT, Trench V</v>
      </c>
      <c r="C608" t="s">
        <v>327</v>
      </c>
      <c r="D608" t="s">
        <v>328</v>
      </c>
      <c r="F608">
        <v>608</v>
      </c>
      <c r="G608" t="s">
        <v>262</v>
      </c>
      <c r="N608" t="s">
        <v>357</v>
      </c>
    </row>
    <row r="609" spans="1:14" x14ac:dyDescent="0.2">
      <c r="A609" t="s">
        <v>366</v>
      </c>
      <c r="B609" t="str">
        <f t="shared" ref="B609" si="40">_xlfn.CONCAT("Room ", C609, ", Trench ", D609)</f>
        <v>Room 108, Trench DD</v>
      </c>
      <c r="C609">
        <v>108</v>
      </c>
      <c r="D609" t="s">
        <v>335</v>
      </c>
      <c r="F609">
        <v>609</v>
      </c>
      <c r="G609" t="s">
        <v>263</v>
      </c>
      <c r="N609" t="s">
        <v>356</v>
      </c>
    </row>
    <row r="610" spans="1:14" x14ac:dyDescent="0.2">
      <c r="A610" t="s">
        <v>366</v>
      </c>
      <c r="B610" t="str">
        <f>_xlfn.CONCAT(C610, ", Trench ", D610)</f>
        <v>COURT, Trench V</v>
      </c>
      <c r="C610" t="s">
        <v>327</v>
      </c>
      <c r="D610" t="s">
        <v>328</v>
      </c>
      <c r="F610">
        <v>610</v>
      </c>
      <c r="G610" t="s">
        <v>264</v>
      </c>
      <c r="N610" t="s">
        <v>357</v>
      </c>
    </row>
    <row r="611" spans="1:14" x14ac:dyDescent="0.2">
      <c r="A611" t="s">
        <v>366</v>
      </c>
      <c r="B611" t="str">
        <f t="shared" ref="B611" si="41">_xlfn.CONCAT("Room ", C611, ", Trench ", D611)</f>
        <v>Room 108, Trench DD</v>
      </c>
      <c r="C611">
        <v>108</v>
      </c>
      <c r="D611" t="s">
        <v>335</v>
      </c>
      <c r="F611">
        <v>611</v>
      </c>
      <c r="G611" t="s">
        <v>265</v>
      </c>
      <c r="N611" t="s">
        <v>358</v>
      </c>
    </row>
    <row r="612" spans="1:14" x14ac:dyDescent="0.2">
      <c r="A612" t="s">
        <v>366</v>
      </c>
      <c r="B612" t="str">
        <f>_xlfn.CONCAT(C612, ", Trench ", D612)</f>
        <v>COURT, Trench V</v>
      </c>
      <c r="C612" t="s">
        <v>327</v>
      </c>
      <c r="D612" t="s">
        <v>328</v>
      </c>
      <c r="F612">
        <v>612</v>
      </c>
      <c r="G612" t="s">
        <v>266</v>
      </c>
      <c r="N612" t="s">
        <v>357</v>
      </c>
    </row>
    <row r="613" spans="1:14" x14ac:dyDescent="0.2">
      <c r="A613" t="s">
        <v>366</v>
      </c>
      <c r="B613" t="str">
        <f t="shared" ref="B613" si="42">_xlfn.CONCAT("Room ", C613, ", Trench ", D613)</f>
        <v>Room 110, Trench CC</v>
      </c>
      <c r="C613">
        <v>110</v>
      </c>
      <c r="D613" t="s">
        <v>334</v>
      </c>
      <c r="F613">
        <v>613</v>
      </c>
      <c r="G613" t="s">
        <v>267</v>
      </c>
      <c r="N613" t="s">
        <v>353</v>
      </c>
    </row>
    <row r="614" spans="1:14" x14ac:dyDescent="0.2">
      <c r="A614" t="s">
        <v>366</v>
      </c>
      <c r="B614" t="str">
        <f>_xlfn.CONCAT(C614, ", Trench ", D614)</f>
        <v>COURT, Trench V</v>
      </c>
      <c r="C614" t="s">
        <v>327</v>
      </c>
      <c r="D614" t="s">
        <v>328</v>
      </c>
      <c r="F614">
        <v>614</v>
      </c>
      <c r="G614" t="s">
        <v>146</v>
      </c>
      <c r="N614" t="s">
        <v>356</v>
      </c>
    </row>
    <row r="615" spans="1:14" x14ac:dyDescent="0.2">
      <c r="A615" t="s">
        <v>366</v>
      </c>
      <c r="B615" t="str">
        <f t="shared" ref="B615:B625" si="43">_xlfn.CONCAT("Room ", C615, ", Trench ", D615)</f>
        <v>Room 108, Trench DD</v>
      </c>
      <c r="C615">
        <v>108</v>
      </c>
      <c r="D615" t="s">
        <v>335</v>
      </c>
      <c r="F615">
        <v>615</v>
      </c>
      <c r="G615" t="s">
        <v>268</v>
      </c>
      <c r="N615" t="s">
        <v>357</v>
      </c>
    </row>
    <row r="616" spans="1:14" x14ac:dyDescent="0.2">
      <c r="A616" t="s">
        <v>366</v>
      </c>
      <c r="B616" t="str">
        <f t="shared" si="43"/>
        <v>Room 107, Trench EE</v>
      </c>
      <c r="C616">
        <v>107</v>
      </c>
      <c r="D616" t="s">
        <v>336</v>
      </c>
      <c r="F616">
        <v>616</v>
      </c>
      <c r="G616" t="s">
        <v>204</v>
      </c>
      <c r="N616" t="s">
        <v>354</v>
      </c>
    </row>
    <row r="617" spans="1:14" x14ac:dyDescent="0.2">
      <c r="A617" t="s">
        <v>366</v>
      </c>
      <c r="B617" t="str">
        <f t="shared" si="43"/>
        <v>Room 107, Trench EE</v>
      </c>
      <c r="C617">
        <v>107</v>
      </c>
      <c r="D617" t="s">
        <v>336</v>
      </c>
      <c r="F617">
        <v>617</v>
      </c>
      <c r="G617" t="s">
        <v>198</v>
      </c>
      <c r="N617" t="s">
        <v>354</v>
      </c>
    </row>
    <row r="618" spans="1:14" x14ac:dyDescent="0.2">
      <c r="A618" t="s">
        <v>366</v>
      </c>
      <c r="B618" t="str">
        <f t="shared" si="43"/>
        <v>Room 108, Trench DD</v>
      </c>
      <c r="C618">
        <v>108</v>
      </c>
      <c r="D618" t="s">
        <v>335</v>
      </c>
      <c r="F618">
        <v>618</v>
      </c>
      <c r="G618" t="s">
        <v>269</v>
      </c>
      <c r="N618" t="s">
        <v>356</v>
      </c>
    </row>
    <row r="619" spans="1:14" x14ac:dyDescent="0.2">
      <c r="A619" t="s">
        <v>366</v>
      </c>
      <c r="B619" t="str">
        <f t="shared" si="43"/>
        <v>Room 108, Trench DD</v>
      </c>
      <c r="C619">
        <v>108</v>
      </c>
      <c r="D619" t="s">
        <v>335</v>
      </c>
      <c r="F619">
        <v>619</v>
      </c>
      <c r="G619" t="s">
        <v>270</v>
      </c>
      <c r="N619" t="s">
        <v>357</v>
      </c>
    </row>
    <row r="620" spans="1:14" x14ac:dyDescent="0.2">
      <c r="A620" t="s">
        <v>366</v>
      </c>
      <c r="B620" t="str">
        <f t="shared" si="43"/>
        <v>Room 108, Trench DD</v>
      </c>
      <c r="C620">
        <v>108</v>
      </c>
      <c r="D620" t="s">
        <v>335</v>
      </c>
      <c r="F620">
        <v>620</v>
      </c>
      <c r="G620" t="s">
        <v>271</v>
      </c>
      <c r="N620" t="s">
        <v>356</v>
      </c>
    </row>
    <row r="621" spans="1:14" x14ac:dyDescent="0.2">
      <c r="A621" t="s">
        <v>366</v>
      </c>
      <c r="B621" t="str">
        <f t="shared" si="43"/>
        <v>Room 107, Trench EE</v>
      </c>
      <c r="C621">
        <v>107</v>
      </c>
      <c r="D621" t="s">
        <v>336</v>
      </c>
      <c r="F621">
        <v>621</v>
      </c>
      <c r="G621" t="s">
        <v>61</v>
      </c>
      <c r="N621" t="s">
        <v>357</v>
      </c>
    </row>
    <row r="622" spans="1:14" x14ac:dyDescent="0.2">
      <c r="A622" t="s">
        <v>366</v>
      </c>
      <c r="B622" t="str">
        <f t="shared" si="43"/>
        <v>Room 107, Trench EE</v>
      </c>
      <c r="C622">
        <v>107</v>
      </c>
      <c r="D622" t="s">
        <v>336</v>
      </c>
      <c r="F622">
        <v>622</v>
      </c>
      <c r="G622" t="s">
        <v>230</v>
      </c>
      <c r="N622" t="s">
        <v>353</v>
      </c>
    </row>
    <row r="623" spans="1:14" x14ac:dyDescent="0.2">
      <c r="A623" t="s">
        <v>366</v>
      </c>
      <c r="B623" t="str">
        <f t="shared" si="43"/>
        <v>Room 107, Trench EE</v>
      </c>
      <c r="C623">
        <v>107</v>
      </c>
      <c r="D623" t="s">
        <v>336</v>
      </c>
      <c r="F623">
        <v>623</v>
      </c>
      <c r="G623" t="s">
        <v>233</v>
      </c>
      <c r="N623" t="s">
        <v>357</v>
      </c>
    </row>
    <row r="624" spans="1:14" x14ac:dyDescent="0.2">
      <c r="A624" t="s">
        <v>366</v>
      </c>
      <c r="B624" t="str">
        <f>_xlfn.CONCAT(C624, ", Trench ", D624)</f>
        <v>COURT, Trench V</v>
      </c>
      <c r="C624" t="s">
        <v>327</v>
      </c>
      <c r="D624" t="s">
        <v>328</v>
      </c>
      <c r="F624">
        <v>624</v>
      </c>
      <c r="G624" t="s">
        <v>272</v>
      </c>
      <c r="N624" t="s">
        <v>353</v>
      </c>
    </row>
    <row r="625" spans="1:14" x14ac:dyDescent="0.2">
      <c r="A625" t="s">
        <v>366</v>
      </c>
      <c r="B625" t="str">
        <f t="shared" si="43"/>
        <v>Room 108, Trench DD</v>
      </c>
      <c r="C625">
        <v>108</v>
      </c>
      <c r="D625" t="s">
        <v>335</v>
      </c>
      <c r="F625">
        <v>625</v>
      </c>
      <c r="G625" t="s">
        <v>273</v>
      </c>
      <c r="N625" t="s">
        <v>353</v>
      </c>
    </row>
    <row r="626" spans="1:14" x14ac:dyDescent="0.2">
      <c r="A626" t="s">
        <v>366</v>
      </c>
      <c r="B626" t="s">
        <v>370</v>
      </c>
      <c r="D626" t="s">
        <v>337</v>
      </c>
      <c r="F626">
        <v>626</v>
      </c>
      <c r="G626" t="s">
        <v>231</v>
      </c>
      <c r="N626" t="s">
        <v>357</v>
      </c>
    </row>
    <row r="627" spans="1:14" x14ac:dyDescent="0.2">
      <c r="A627" t="s">
        <v>366</v>
      </c>
      <c r="B627" t="s">
        <v>370</v>
      </c>
      <c r="D627" t="s">
        <v>337</v>
      </c>
      <c r="F627">
        <v>627</v>
      </c>
      <c r="G627" t="s">
        <v>274</v>
      </c>
      <c r="N627" t="s">
        <v>353</v>
      </c>
    </row>
    <row r="628" spans="1:14" x14ac:dyDescent="0.2">
      <c r="A628" t="s">
        <v>366</v>
      </c>
      <c r="B628" t="str">
        <f t="shared" ref="B628:B672" si="44">_xlfn.CONCAT("Room ", C628, ", Trench ", D628)</f>
        <v>Room 107, Trench GG</v>
      </c>
      <c r="C628">
        <v>107</v>
      </c>
      <c r="D628" t="s">
        <v>338</v>
      </c>
      <c r="F628">
        <v>628</v>
      </c>
      <c r="G628" t="s">
        <v>204</v>
      </c>
      <c r="N628" t="s">
        <v>354</v>
      </c>
    </row>
    <row r="629" spans="1:14" x14ac:dyDescent="0.2">
      <c r="A629" t="s">
        <v>366</v>
      </c>
      <c r="B629" t="str">
        <f t="shared" si="44"/>
        <v>Room 107, Trench EE</v>
      </c>
      <c r="C629">
        <v>107</v>
      </c>
      <c r="D629" t="s">
        <v>336</v>
      </c>
      <c r="F629">
        <v>629</v>
      </c>
      <c r="G629" t="s">
        <v>248</v>
      </c>
      <c r="N629" t="s">
        <v>357</v>
      </c>
    </row>
    <row r="630" spans="1:14" x14ac:dyDescent="0.2">
      <c r="A630" t="s">
        <v>366</v>
      </c>
      <c r="B630" t="str">
        <f t="shared" si="44"/>
        <v>Room 107, Trench EE</v>
      </c>
      <c r="C630">
        <v>107</v>
      </c>
      <c r="D630" t="s">
        <v>336</v>
      </c>
      <c r="F630">
        <v>630</v>
      </c>
      <c r="G630" t="s">
        <v>275</v>
      </c>
      <c r="N630" t="s">
        <v>354</v>
      </c>
    </row>
    <row r="631" spans="1:14" x14ac:dyDescent="0.2">
      <c r="A631" t="s">
        <v>366</v>
      </c>
      <c r="B631" t="str">
        <f t="shared" si="44"/>
        <v>Room 107, Trench EE</v>
      </c>
      <c r="C631">
        <v>107</v>
      </c>
      <c r="D631" t="s">
        <v>336</v>
      </c>
      <c r="F631">
        <v>631</v>
      </c>
      <c r="G631" t="s">
        <v>173</v>
      </c>
      <c r="N631" t="s">
        <v>354</v>
      </c>
    </row>
    <row r="632" spans="1:14" x14ac:dyDescent="0.2">
      <c r="A632" t="s">
        <v>366</v>
      </c>
      <c r="B632" t="str">
        <f t="shared" si="44"/>
        <v>Room 107, Trench EE</v>
      </c>
      <c r="C632">
        <v>107</v>
      </c>
      <c r="D632" t="s">
        <v>336</v>
      </c>
      <c r="F632">
        <v>632</v>
      </c>
      <c r="G632" t="s">
        <v>276</v>
      </c>
      <c r="N632" t="s">
        <v>357</v>
      </c>
    </row>
    <row r="633" spans="1:14" x14ac:dyDescent="0.2">
      <c r="A633" t="s">
        <v>366</v>
      </c>
      <c r="B633" t="str">
        <f t="shared" si="44"/>
        <v>Room 106, Trench GG</v>
      </c>
      <c r="C633">
        <v>106</v>
      </c>
      <c r="D633" t="s">
        <v>338</v>
      </c>
      <c r="F633">
        <v>633</v>
      </c>
      <c r="G633" t="s">
        <v>231</v>
      </c>
      <c r="N633" t="s">
        <v>357</v>
      </c>
    </row>
    <row r="634" spans="1:14" x14ac:dyDescent="0.2">
      <c r="A634" t="s">
        <v>366</v>
      </c>
      <c r="B634" t="str">
        <f t="shared" si="44"/>
        <v>Room 101, Trench HH</v>
      </c>
      <c r="C634">
        <v>101</v>
      </c>
      <c r="D634" t="s">
        <v>339</v>
      </c>
      <c r="F634">
        <v>634</v>
      </c>
      <c r="G634" t="s">
        <v>204</v>
      </c>
      <c r="N634" t="s">
        <v>354</v>
      </c>
    </row>
    <row r="635" spans="1:14" x14ac:dyDescent="0.2">
      <c r="A635" t="s">
        <v>366</v>
      </c>
      <c r="B635" t="str">
        <f t="shared" si="44"/>
        <v>Room 106, Trench JJ</v>
      </c>
      <c r="C635">
        <v>106</v>
      </c>
      <c r="D635" t="s">
        <v>340</v>
      </c>
      <c r="F635">
        <v>635</v>
      </c>
      <c r="G635" t="s">
        <v>204</v>
      </c>
      <c r="N635" t="s">
        <v>354</v>
      </c>
    </row>
    <row r="636" spans="1:14" x14ac:dyDescent="0.2">
      <c r="A636" t="s">
        <v>366</v>
      </c>
      <c r="B636" t="str">
        <f t="shared" si="44"/>
        <v>Room 101, Trench HH</v>
      </c>
      <c r="C636">
        <v>101</v>
      </c>
      <c r="D636" t="s">
        <v>339</v>
      </c>
      <c r="F636">
        <v>636</v>
      </c>
      <c r="G636" t="s">
        <v>231</v>
      </c>
      <c r="N636" t="s">
        <v>357</v>
      </c>
    </row>
    <row r="637" spans="1:14" x14ac:dyDescent="0.2">
      <c r="A637" t="s">
        <v>366</v>
      </c>
      <c r="B637" t="str">
        <f t="shared" si="44"/>
        <v>Room 106, Trench JJ</v>
      </c>
      <c r="C637">
        <v>106</v>
      </c>
      <c r="D637" t="s">
        <v>340</v>
      </c>
      <c r="F637">
        <v>637</v>
      </c>
      <c r="G637" t="s">
        <v>198</v>
      </c>
      <c r="N637" t="s">
        <v>354</v>
      </c>
    </row>
    <row r="638" spans="1:14" x14ac:dyDescent="0.2">
      <c r="A638" t="s">
        <v>366</v>
      </c>
      <c r="B638" t="str">
        <f t="shared" si="44"/>
        <v>Room 101, Trench HH</v>
      </c>
      <c r="C638">
        <v>101</v>
      </c>
      <c r="D638" t="s">
        <v>339</v>
      </c>
      <c r="F638">
        <v>638</v>
      </c>
      <c r="G638" t="s">
        <v>198</v>
      </c>
      <c r="N638" t="s">
        <v>354</v>
      </c>
    </row>
    <row r="639" spans="1:14" x14ac:dyDescent="0.2">
      <c r="A639" t="s">
        <v>366</v>
      </c>
      <c r="B639" t="str">
        <f t="shared" si="44"/>
        <v>Room 106, Trench JJ</v>
      </c>
      <c r="C639">
        <v>106</v>
      </c>
      <c r="D639" t="s">
        <v>340</v>
      </c>
      <c r="F639">
        <v>639</v>
      </c>
      <c r="G639" t="s">
        <v>198</v>
      </c>
      <c r="N639" t="s">
        <v>354</v>
      </c>
    </row>
    <row r="640" spans="1:14" x14ac:dyDescent="0.2">
      <c r="A640" t="s">
        <v>366</v>
      </c>
      <c r="B640" t="str">
        <f t="shared" si="44"/>
        <v>Room 106, Trench JJ</v>
      </c>
      <c r="C640">
        <v>106</v>
      </c>
      <c r="D640" t="s">
        <v>340</v>
      </c>
      <c r="F640">
        <v>640</v>
      </c>
      <c r="G640" t="s">
        <v>231</v>
      </c>
      <c r="N640" t="s">
        <v>357</v>
      </c>
    </row>
    <row r="641" spans="1:14" x14ac:dyDescent="0.2">
      <c r="A641" t="s">
        <v>366</v>
      </c>
      <c r="B641" t="str">
        <f t="shared" si="44"/>
        <v>Room 101, Trench HH</v>
      </c>
      <c r="C641">
        <v>101</v>
      </c>
      <c r="D641" t="s">
        <v>339</v>
      </c>
      <c r="F641">
        <v>641</v>
      </c>
      <c r="G641" t="s">
        <v>144</v>
      </c>
      <c r="N641" t="s">
        <v>356</v>
      </c>
    </row>
    <row r="642" spans="1:14" x14ac:dyDescent="0.2">
      <c r="A642" t="s">
        <v>366</v>
      </c>
      <c r="B642" t="str">
        <f t="shared" si="44"/>
        <v>Room 101, Trench HH</v>
      </c>
      <c r="C642">
        <v>101</v>
      </c>
      <c r="D642" t="s">
        <v>339</v>
      </c>
      <c r="F642">
        <v>642</v>
      </c>
      <c r="G642" t="s">
        <v>233</v>
      </c>
      <c r="N642" t="s">
        <v>357</v>
      </c>
    </row>
    <row r="643" spans="1:14" x14ac:dyDescent="0.2">
      <c r="A643" t="s">
        <v>366</v>
      </c>
      <c r="B643" t="str">
        <f t="shared" si="44"/>
        <v>Room 102, Trench KK</v>
      </c>
      <c r="C643">
        <v>102</v>
      </c>
      <c r="D643" t="s">
        <v>341</v>
      </c>
      <c r="F643">
        <v>643</v>
      </c>
      <c r="G643" t="s">
        <v>204</v>
      </c>
      <c r="N643" t="s">
        <v>354</v>
      </c>
    </row>
    <row r="644" spans="1:14" x14ac:dyDescent="0.2">
      <c r="A644" t="s">
        <v>366</v>
      </c>
      <c r="B644" t="str">
        <f t="shared" si="44"/>
        <v>Room 102, Trench KK</v>
      </c>
      <c r="C644">
        <v>102</v>
      </c>
      <c r="D644" t="s">
        <v>341</v>
      </c>
      <c r="F644">
        <v>644</v>
      </c>
      <c r="G644" t="s">
        <v>198</v>
      </c>
      <c r="N644" t="s">
        <v>354</v>
      </c>
    </row>
    <row r="645" spans="1:14" x14ac:dyDescent="0.2">
      <c r="A645" t="s">
        <v>366</v>
      </c>
      <c r="B645" t="str">
        <f t="shared" si="44"/>
        <v>Room 102, Trench KK</v>
      </c>
      <c r="C645">
        <v>102</v>
      </c>
      <c r="D645" t="s">
        <v>341</v>
      </c>
      <c r="F645">
        <v>645</v>
      </c>
      <c r="G645" t="s">
        <v>231</v>
      </c>
      <c r="N645" t="s">
        <v>357</v>
      </c>
    </row>
    <row r="646" spans="1:14" x14ac:dyDescent="0.2">
      <c r="A646" t="s">
        <v>366</v>
      </c>
      <c r="B646" t="str">
        <f t="shared" si="44"/>
        <v>Room 110, Trench LL</v>
      </c>
      <c r="C646">
        <v>110</v>
      </c>
      <c r="D646" t="s">
        <v>342</v>
      </c>
      <c r="F646">
        <v>646</v>
      </c>
      <c r="G646" t="s">
        <v>246</v>
      </c>
      <c r="N646" t="s">
        <v>357</v>
      </c>
    </row>
    <row r="647" spans="1:14" x14ac:dyDescent="0.2">
      <c r="A647" t="s">
        <v>366</v>
      </c>
      <c r="B647" t="str">
        <f t="shared" si="44"/>
        <v>Room 102, Trench KK</v>
      </c>
      <c r="C647">
        <v>102</v>
      </c>
      <c r="D647" t="s">
        <v>341</v>
      </c>
      <c r="F647">
        <v>647</v>
      </c>
      <c r="G647" t="s">
        <v>233</v>
      </c>
      <c r="N647" t="s">
        <v>357</v>
      </c>
    </row>
    <row r="648" spans="1:14" x14ac:dyDescent="0.2">
      <c r="A648" t="s">
        <v>366</v>
      </c>
      <c r="B648" t="str">
        <f t="shared" si="44"/>
        <v>Room 106, Trench L-JJ</v>
      </c>
      <c r="C648">
        <v>106</v>
      </c>
      <c r="D648" t="s">
        <v>343</v>
      </c>
      <c r="F648">
        <v>648</v>
      </c>
      <c r="G648" t="s">
        <v>277</v>
      </c>
      <c r="N648" t="s">
        <v>353</v>
      </c>
    </row>
    <row r="649" spans="1:14" x14ac:dyDescent="0.2">
      <c r="A649" t="s">
        <v>366</v>
      </c>
      <c r="B649" t="str">
        <f t="shared" si="44"/>
        <v>Room 110, Trench LL</v>
      </c>
      <c r="C649">
        <v>110</v>
      </c>
      <c r="D649" t="s">
        <v>342</v>
      </c>
      <c r="F649">
        <v>649</v>
      </c>
      <c r="G649" t="s">
        <v>231</v>
      </c>
      <c r="N649" t="s">
        <v>357</v>
      </c>
    </row>
    <row r="650" spans="1:14" ht="16" x14ac:dyDescent="0.2">
      <c r="A650" t="s">
        <v>366</v>
      </c>
      <c r="B650" t="str">
        <f t="shared" si="44"/>
        <v>Room 110, Trench LL</v>
      </c>
      <c r="C650">
        <v>110</v>
      </c>
      <c r="D650" t="s">
        <v>342</v>
      </c>
      <c r="F650">
        <v>650</v>
      </c>
      <c r="G650" t="s">
        <v>278</v>
      </c>
      <c r="M650" s="3" t="s">
        <v>359</v>
      </c>
      <c r="N650" t="s">
        <v>354</v>
      </c>
    </row>
    <row r="651" spans="1:14" x14ac:dyDescent="0.2">
      <c r="A651" t="s">
        <v>366</v>
      </c>
      <c r="B651" t="str">
        <f t="shared" si="44"/>
        <v>Room 106, Trench L-JJ</v>
      </c>
      <c r="C651">
        <v>106</v>
      </c>
      <c r="D651" t="s">
        <v>343</v>
      </c>
      <c r="F651">
        <v>651</v>
      </c>
      <c r="G651" t="s">
        <v>279</v>
      </c>
      <c r="N651" t="s">
        <v>353</v>
      </c>
    </row>
    <row r="652" spans="1:14" x14ac:dyDescent="0.2">
      <c r="A652" t="s">
        <v>366</v>
      </c>
      <c r="B652" t="str">
        <f t="shared" si="44"/>
        <v>Room 110, Trench LL</v>
      </c>
      <c r="C652">
        <v>110</v>
      </c>
      <c r="D652" t="s">
        <v>342</v>
      </c>
      <c r="F652">
        <v>652</v>
      </c>
      <c r="G652" t="s">
        <v>14</v>
      </c>
      <c r="N652" t="s">
        <v>358</v>
      </c>
    </row>
    <row r="653" spans="1:14" x14ac:dyDescent="0.2">
      <c r="A653" t="s">
        <v>366</v>
      </c>
      <c r="B653" t="str">
        <f t="shared" si="44"/>
        <v>Room 107, Trench MM</v>
      </c>
      <c r="C653">
        <v>107</v>
      </c>
      <c r="D653" t="s">
        <v>344</v>
      </c>
      <c r="F653">
        <v>653</v>
      </c>
      <c r="G653" t="s">
        <v>204</v>
      </c>
      <c r="N653" t="s">
        <v>354</v>
      </c>
    </row>
    <row r="654" spans="1:14" x14ac:dyDescent="0.2">
      <c r="A654" t="s">
        <v>366</v>
      </c>
      <c r="B654" t="str">
        <f t="shared" si="44"/>
        <v>Room 110, Trench LL</v>
      </c>
      <c r="C654">
        <v>110</v>
      </c>
      <c r="D654" t="s">
        <v>342</v>
      </c>
      <c r="F654">
        <v>654</v>
      </c>
      <c r="G654" t="s">
        <v>235</v>
      </c>
      <c r="N654" t="s">
        <v>358</v>
      </c>
    </row>
    <row r="655" spans="1:14" x14ac:dyDescent="0.2">
      <c r="A655" t="s">
        <v>366</v>
      </c>
      <c r="B655" t="str">
        <f t="shared" si="44"/>
        <v>Room 110, Trench LL</v>
      </c>
      <c r="C655">
        <v>110</v>
      </c>
      <c r="D655" t="s">
        <v>342</v>
      </c>
      <c r="F655">
        <v>655</v>
      </c>
      <c r="G655" t="s">
        <v>233</v>
      </c>
      <c r="N655" t="s">
        <v>357</v>
      </c>
    </row>
    <row r="656" spans="1:14" x14ac:dyDescent="0.2">
      <c r="A656" t="s">
        <v>366</v>
      </c>
      <c r="B656" t="str">
        <f t="shared" si="44"/>
        <v>Room 102, Trench NN</v>
      </c>
      <c r="C656">
        <v>102</v>
      </c>
      <c r="D656" t="s">
        <v>345</v>
      </c>
      <c r="F656">
        <v>656</v>
      </c>
      <c r="G656" t="s">
        <v>204</v>
      </c>
      <c r="N656" t="s">
        <v>354</v>
      </c>
    </row>
    <row r="657" spans="1:14" x14ac:dyDescent="0.2">
      <c r="A657" t="s">
        <v>366</v>
      </c>
      <c r="B657" t="str">
        <f t="shared" si="44"/>
        <v>Room 107, Trench MM</v>
      </c>
      <c r="C657">
        <v>107</v>
      </c>
      <c r="D657" t="s">
        <v>344</v>
      </c>
      <c r="F657">
        <v>657</v>
      </c>
      <c r="G657" t="s">
        <v>275</v>
      </c>
      <c r="N657" t="s">
        <v>354</v>
      </c>
    </row>
    <row r="658" spans="1:14" x14ac:dyDescent="0.2">
      <c r="A658" t="s">
        <v>366</v>
      </c>
      <c r="B658" t="str">
        <f t="shared" si="44"/>
        <v>Room 107, Trench MM</v>
      </c>
      <c r="C658">
        <v>107</v>
      </c>
      <c r="D658" t="s">
        <v>344</v>
      </c>
      <c r="F658">
        <v>658</v>
      </c>
      <c r="G658" t="s">
        <v>275</v>
      </c>
      <c r="N658" t="s">
        <v>354</v>
      </c>
    </row>
    <row r="659" spans="1:14" x14ac:dyDescent="0.2">
      <c r="A659" t="s">
        <v>366</v>
      </c>
      <c r="B659" t="str">
        <f t="shared" si="44"/>
        <v>Room 110, Trench LL</v>
      </c>
      <c r="C659">
        <v>110</v>
      </c>
      <c r="D659" t="s">
        <v>342</v>
      </c>
      <c r="F659">
        <v>659</v>
      </c>
      <c r="G659" t="s">
        <v>261</v>
      </c>
      <c r="N659" t="s">
        <v>354</v>
      </c>
    </row>
    <row r="660" spans="1:14" x14ac:dyDescent="0.2">
      <c r="A660" t="s">
        <v>366</v>
      </c>
      <c r="B660" t="str">
        <f t="shared" si="44"/>
        <v>Room 102, Trench NN</v>
      </c>
      <c r="C660">
        <v>102</v>
      </c>
      <c r="D660" t="s">
        <v>345</v>
      </c>
      <c r="F660">
        <v>660</v>
      </c>
      <c r="G660" t="s">
        <v>231</v>
      </c>
      <c r="N660" t="s">
        <v>357</v>
      </c>
    </row>
    <row r="661" spans="1:14" ht="16" x14ac:dyDescent="0.2">
      <c r="A661" t="s">
        <v>366</v>
      </c>
      <c r="B661" t="str">
        <f t="shared" si="44"/>
        <v>Room 102, Trench NN</v>
      </c>
      <c r="C661">
        <v>102</v>
      </c>
      <c r="D661" t="s">
        <v>345</v>
      </c>
      <c r="F661">
        <v>661</v>
      </c>
      <c r="G661" t="s">
        <v>280</v>
      </c>
      <c r="M661" s="3" t="s">
        <v>360</v>
      </c>
      <c r="N661" t="s">
        <v>354</v>
      </c>
    </row>
    <row r="662" spans="1:14" x14ac:dyDescent="0.2">
      <c r="A662" t="s">
        <v>366</v>
      </c>
      <c r="B662" t="str">
        <f t="shared" si="44"/>
        <v>Room 107, Trench MM</v>
      </c>
      <c r="C662">
        <v>107</v>
      </c>
      <c r="D662" t="s">
        <v>344</v>
      </c>
      <c r="F662">
        <v>662</v>
      </c>
      <c r="G662" t="s">
        <v>230</v>
      </c>
      <c r="N662" t="s">
        <v>353</v>
      </c>
    </row>
    <row r="663" spans="1:14" x14ac:dyDescent="0.2">
      <c r="A663" t="s">
        <v>366</v>
      </c>
      <c r="B663" t="str">
        <f t="shared" si="44"/>
        <v>Room 110, Trench LL</v>
      </c>
      <c r="C663">
        <v>110</v>
      </c>
      <c r="D663" t="s">
        <v>342</v>
      </c>
      <c r="F663">
        <v>663</v>
      </c>
      <c r="G663" t="s">
        <v>248</v>
      </c>
      <c r="N663" t="s">
        <v>357</v>
      </c>
    </row>
    <row r="664" spans="1:14" x14ac:dyDescent="0.2">
      <c r="A664" t="s">
        <v>366</v>
      </c>
      <c r="B664" t="str">
        <f t="shared" si="44"/>
        <v>Room 107, Trench MM</v>
      </c>
      <c r="C664">
        <v>107</v>
      </c>
      <c r="D664" t="s">
        <v>344</v>
      </c>
      <c r="F664">
        <v>664</v>
      </c>
      <c r="G664" t="s">
        <v>281</v>
      </c>
      <c r="N664" t="s">
        <v>354</v>
      </c>
    </row>
    <row r="665" spans="1:14" x14ac:dyDescent="0.2">
      <c r="A665" t="s">
        <v>366</v>
      </c>
      <c r="B665" t="str">
        <f t="shared" si="44"/>
        <v>Room 107, Trench MM</v>
      </c>
      <c r="C665">
        <v>107</v>
      </c>
      <c r="D665" t="s">
        <v>344</v>
      </c>
      <c r="F665">
        <v>665</v>
      </c>
      <c r="G665" t="s">
        <v>231</v>
      </c>
      <c r="N665" t="s">
        <v>357</v>
      </c>
    </row>
    <row r="666" spans="1:14" x14ac:dyDescent="0.2">
      <c r="A666" t="s">
        <v>366</v>
      </c>
      <c r="B666" t="str">
        <f t="shared" si="44"/>
        <v>Room 102, Trench NN</v>
      </c>
      <c r="C666">
        <v>102</v>
      </c>
      <c r="D666" t="s">
        <v>345</v>
      </c>
      <c r="F666">
        <v>666</v>
      </c>
      <c r="G666" t="s">
        <v>233</v>
      </c>
      <c r="N666" t="s">
        <v>357</v>
      </c>
    </row>
    <row r="667" spans="1:14" x14ac:dyDescent="0.2">
      <c r="A667" t="s">
        <v>366</v>
      </c>
      <c r="B667" t="str">
        <f t="shared" si="44"/>
        <v>Room 104, Trench Q</v>
      </c>
      <c r="C667">
        <v>104</v>
      </c>
      <c r="D667" t="s">
        <v>324</v>
      </c>
      <c r="F667">
        <v>667</v>
      </c>
      <c r="G667" t="s">
        <v>198</v>
      </c>
      <c r="N667" t="s">
        <v>354</v>
      </c>
    </row>
    <row r="668" spans="1:14" x14ac:dyDescent="0.2">
      <c r="A668" t="s">
        <v>366</v>
      </c>
      <c r="B668" t="str">
        <f t="shared" si="44"/>
        <v>Room 104, Trench Q</v>
      </c>
      <c r="C668">
        <v>104</v>
      </c>
      <c r="D668" t="s">
        <v>324</v>
      </c>
      <c r="F668">
        <v>668</v>
      </c>
      <c r="G668" t="s">
        <v>233</v>
      </c>
      <c r="N668" t="s">
        <v>357</v>
      </c>
    </row>
    <row r="669" spans="1:14" x14ac:dyDescent="0.2">
      <c r="A669" t="s">
        <v>366</v>
      </c>
      <c r="B669" t="str">
        <f t="shared" si="44"/>
        <v>Room 104, Trench Q</v>
      </c>
      <c r="C669">
        <v>104</v>
      </c>
      <c r="D669" t="s">
        <v>324</v>
      </c>
      <c r="F669">
        <v>669</v>
      </c>
      <c r="G669" t="s">
        <v>173</v>
      </c>
      <c r="N669" t="s">
        <v>354</v>
      </c>
    </row>
    <row r="670" spans="1:14" x14ac:dyDescent="0.2">
      <c r="A670" t="s">
        <v>366</v>
      </c>
      <c r="B670" t="str">
        <f t="shared" si="44"/>
        <v>Room 107, Trench MM</v>
      </c>
      <c r="C670">
        <v>107</v>
      </c>
      <c r="D670" t="s">
        <v>344</v>
      </c>
      <c r="F670">
        <v>670</v>
      </c>
      <c r="G670" t="s">
        <v>233</v>
      </c>
      <c r="N670" t="s">
        <v>357</v>
      </c>
    </row>
    <row r="671" spans="1:14" x14ac:dyDescent="0.2">
      <c r="A671" t="s">
        <v>366</v>
      </c>
      <c r="B671" t="str">
        <f t="shared" si="44"/>
        <v>Room 104, Trench Q</v>
      </c>
      <c r="C671">
        <v>104</v>
      </c>
      <c r="D671" t="s">
        <v>324</v>
      </c>
      <c r="F671">
        <v>671</v>
      </c>
      <c r="G671" t="s">
        <v>248</v>
      </c>
      <c r="N671" t="s">
        <v>357</v>
      </c>
    </row>
    <row r="672" spans="1:14" x14ac:dyDescent="0.2">
      <c r="A672" t="s">
        <v>366</v>
      </c>
      <c r="B672" t="str">
        <f t="shared" si="44"/>
        <v>Room 107, Trench MM</v>
      </c>
      <c r="C672">
        <v>107</v>
      </c>
      <c r="D672" t="s">
        <v>344</v>
      </c>
      <c r="F672">
        <v>672</v>
      </c>
      <c r="G672" t="s">
        <v>238</v>
      </c>
      <c r="N672" t="s">
        <v>356</v>
      </c>
    </row>
  </sheetData>
  <autoFilter ref="A1:W672" xr:uid="{00000000-0001-0000-0000-000000000000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Sullivan,Myles William</cp:lastModifiedBy>
  <dcterms:created xsi:type="dcterms:W3CDTF">2024-02-18T21:28:57Z</dcterms:created>
  <dcterms:modified xsi:type="dcterms:W3CDTF">2026-07-13T13:05:21Z</dcterms:modified>
</cp:coreProperties>
</file>